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filterPrivacy="1" codeName="ThisWorkbook" defaultThemeVersion="166925"/>
  <xr:revisionPtr revIDLastSave="0" documentId="13_ncr:1_{A2E946BB-79DF-4ED1-81A0-6FB2829BD0A0}" xr6:coauthVersionLast="46" xr6:coauthVersionMax="46" xr10:uidLastSave="{00000000-0000-0000-0000-000000000000}"/>
  <bookViews>
    <workbookView xWindow="-120" yWindow="-120" windowWidth="29040" windowHeight="15840" xr2:uid="{79EC8BE0-A77D-45B7-83CB-20FC43C085FD}"/>
  </bookViews>
  <sheets>
    <sheet name="はじめに" sheetId="15" r:id="rId1"/>
    <sheet name="4月" sheetId="13" r:id="rId2"/>
    <sheet name="5月" sheetId="3" r:id="rId3"/>
    <sheet name="6月" sheetId="1" r:id="rId4"/>
    <sheet name="7月" sheetId="4" r:id="rId5"/>
    <sheet name="8月" sheetId="5" r:id="rId6"/>
    <sheet name="9月" sheetId="6" r:id="rId7"/>
    <sheet name="10月" sheetId="7" r:id="rId8"/>
    <sheet name="11月" sheetId="8" r:id="rId9"/>
    <sheet name="12月" sheetId="9" r:id="rId10"/>
    <sheet name="1月" sheetId="10" r:id="rId11"/>
    <sheet name="2月" sheetId="11" r:id="rId12"/>
    <sheet name="3月" sheetId="12" r:id="rId13"/>
    <sheet name="年度別決算" sheetId="14" r:id="rId14"/>
  </sheets>
  <definedNames>
    <definedName name="_xlnm._FilterDatabase" localSheetId="7" hidden="1">'10月'!$A$2:$E$2</definedName>
    <definedName name="_xlnm._FilterDatabase" localSheetId="8" hidden="1">'11月'!$A$2:$E$2</definedName>
    <definedName name="_xlnm._FilterDatabase" localSheetId="9" hidden="1">'12月'!$A$2:$J$2</definedName>
    <definedName name="_xlnm._FilterDatabase" localSheetId="10" hidden="1">'1月'!$A$2:$E$2</definedName>
    <definedName name="_xlnm._FilterDatabase" localSheetId="1" hidden="1">'4月'!$A$2:$E$2</definedName>
    <definedName name="_xlnm._FilterDatabase" localSheetId="3" hidden="1">'6月'!$A$2:$E$37</definedName>
    <definedName name="_xlnm._FilterDatabase" localSheetId="4" hidden="1">'7月'!$A$2:$E$2</definedName>
    <definedName name="_xlnm._FilterDatabase" localSheetId="5" hidden="1">'8月'!$A$2:$E$2</definedName>
    <definedName name="_xlnm._FilterDatabase" localSheetId="6" hidden="1">'9月'!$A$2:$E$2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8" i="13" l="1"/>
  <c r="C18" i="14"/>
  <c r="B18" i="14"/>
  <c r="D7" i="14"/>
  <c r="D8" i="14"/>
  <c r="D9" i="14"/>
  <c r="D10" i="14"/>
  <c r="D11" i="14"/>
  <c r="D12" i="14"/>
  <c r="D13" i="14"/>
  <c r="D14" i="14"/>
  <c r="D15" i="14"/>
  <c r="J10" i="10"/>
  <c r="H7" i="9"/>
  <c r="H26" i="9" s="1"/>
  <c r="H20" i="9"/>
  <c r="J6" i="8"/>
  <c r="H42" i="8" s="1"/>
  <c r="H4" i="8"/>
  <c r="H23" i="8"/>
  <c r="H11" i="6"/>
  <c r="M24" i="6" s="1"/>
  <c r="J11" i="6"/>
  <c r="M23" i="6" s="1"/>
  <c r="O18" i="14"/>
  <c r="N18" i="14"/>
  <c r="M18" i="14"/>
  <c r="L18" i="14"/>
  <c r="K18" i="14"/>
  <c r="J18" i="14"/>
  <c r="I18" i="14"/>
  <c r="H18" i="14"/>
  <c r="G18" i="14"/>
  <c r="F18" i="14"/>
  <c r="D17" i="14"/>
  <c r="E17" i="14"/>
  <c r="D16" i="14"/>
  <c r="E16" i="14"/>
  <c r="E15" i="14"/>
  <c r="E14" i="14"/>
  <c r="E13" i="14"/>
  <c r="E12" i="14"/>
  <c r="E11" i="14"/>
  <c r="E10" i="14"/>
  <c r="E9" i="14"/>
  <c r="E8" i="14"/>
  <c r="E7" i="14"/>
  <c r="D6" i="14"/>
  <c r="E6" i="14"/>
  <c r="E44" i="13"/>
  <c r="E43" i="13"/>
  <c r="E42" i="13"/>
  <c r="E41" i="13"/>
  <c r="E40" i="13"/>
  <c r="E39" i="13"/>
  <c r="E38" i="13"/>
  <c r="H39" i="12"/>
  <c r="H31" i="12"/>
  <c r="H23" i="12"/>
  <c r="J6" i="7"/>
  <c r="H42" i="7"/>
  <c r="J4" i="7"/>
  <c r="H39" i="7" s="1"/>
  <c r="H15" i="7"/>
  <c r="H34" i="7" s="1"/>
  <c r="H13" i="7"/>
  <c r="H30" i="7"/>
  <c r="H7" i="7"/>
  <c r="H26" i="7" s="1"/>
  <c r="H19" i="12"/>
  <c r="H37" i="12" s="1"/>
  <c r="H19" i="11"/>
  <c r="H37" i="11" s="1"/>
  <c r="H19" i="10"/>
  <c r="H37" i="10" s="1"/>
  <c r="H19" i="9"/>
  <c r="H37" i="9" s="1"/>
  <c r="H19" i="8"/>
  <c r="H37" i="8" s="1"/>
  <c r="H19" i="7"/>
  <c r="H37" i="7"/>
  <c r="H19" i="5"/>
  <c r="H37" i="5" s="1"/>
  <c r="H18" i="5"/>
  <c r="H17" i="5"/>
  <c r="H36" i="5" s="1"/>
  <c r="H16" i="5"/>
  <c r="H15" i="5"/>
  <c r="H34" i="5" s="1"/>
  <c r="H14" i="5"/>
  <c r="H33" i="5"/>
  <c r="H13" i="5"/>
  <c r="H30" i="5"/>
  <c r="H12" i="5"/>
  <c r="H31" i="5" s="1"/>
  <c r="J11" i="5"/>
  <c r="M23" i="5"/>
  <c r="H11" i="5"/>
  <c r="M24" i="5" s="1"/>
  <c r="J10" i="5"/>
  <c r="H10" i="5"/>
  <c r="H29" i="5"/>
  <c r="J9" i="5"/>
  <c r="H41" i="5" s="1"/>
  <c r="H9" i="5"/>
  <c r="H27" i="5" s="1"/>
  <c r="J8" i="5"/>
  <c r="H43" i="5" s="1"/>
  <c r="H8" i="5"/>
  <c r="H28" i="5"/>
  <c r="J7" i="5"/>
  <c r="H44" i="5" s="1"/>
  <c r="H7" i="5"/>
  <c r="H26" i="5" s="1"/>
  <c r="J6" i="5"/>
  <c r="H42" i="5" s="1"/>
  <c r="H6" i="5"/>
  <c r="H25" i="5"/>
  <c r="J5" i="5"/>
  <c r="H40" i="5" s="1"/>
  <c r="H5" i="5"/>
  <c r="H24" i="5" s="1"/>
  <c r="J4" i="5"/>
  <c r="H39" i="5" s="1"/>
  <c r="H4" i="5"/>
  <c r="H23" i="5"/>
  <c r="I38" i="5" s="1"/>
  <c r="J3" i="5"/>
  <c r="M27" i="5" s="1"/>
  <c r="H3" i="5"/>
  <c r="M28" i="5"/>
  <c r="H3" i="6"/>
  <c r="M28" i="6"/>
  <c r="J3" i="6"/>
  <c r="M27" i="6" s="1"/>
  <c r="H19" i="6"/>
  <c r="H37" i="6"/>
  <c r="J7" i="6"/>
  <c r="H44" i="6"/>
  <c r="J8" i="6"/>
  <c r="H43" i="6"/>
  <c r="J6" i="6"/>
  <c r="H42" i="6" s="1"/>
  <c r="J9" i="6"/>
  <c r="H41" i="6" s="1"/>
  <c r="J5" i="6"/>
  <c r="H40" i="6" s="1"/>
  <c r="J4" i="6"/>
  <c r="H39" i="6"/>
  <c r="H17" i="6"/>
  <c r="H36" i="6" s="1"/>
  <c r="H16" i="6"/>
  <c r="H35" i="6" s="1"/>
  <c r="H15" i="6"/>
  <c r="H34" i="6" s="1"/>
  <c r="H14" i="6"/>
  <c r="H33" i="6"/>
  <c r="H18" i="6"/>
  <c r="H32" i="6" s="1"/>
  <c r="H12" i="6"/>
  <c r="H31" i="6" s="1"/>
  <c r="H13" i="6"/>
  <c r="H30" i="6" s="1"/>
  <c r="H10" i="6"/>
  <c r="H29" i="6"/>
  <c r="H8" i="6"/>
  <c r="H28" i="6" s="1"/>
  <c r="H9" i="6"/>
  <c r="H27" i="6" s="1"/>
  <c r="H7" i="6"/>
  <c r="H26" i="6" s="1"/>
  <c r="H6" i="6"/>
  <c r="H25" i="6"/>
  <c r="H5" i="6"/>
  <c r="H24" i="6" s="1"/>
  <c r="H4" i="6"/>
  <c r="H23" i="6" s="1"/>
  <c r="H35" i="5"/>
  <c r="H32" i="5"/>
  <c r="H19" i="4"/>
  <c r="H37" i="4" s="1"/>
  <c r="J7" i="4"/>
  <c r="H44" i="4"/>
  <c r="J8" i="4"/>
  <c r="H43" i="4" s="1"/>
  <c r="J6" i="4"/>
  <c r="H42" i="4" s="1"/>
  <c r="J9" i="4"/>
  <c r="H41" i="4" s="1"/>
  <c r="J5" i="4"/>
  <c r="H40" i="4"/>
  <c r="J4" i="4"/>
  <c r="H39" i="4" s="1"/>
  <c r="I45" i="4" s="1"/>
  <c r="H17" i="4"/>
  <c r="H36" i="4" s="1"/>
  <c r="H16" i="4"/>
  <c r="H35" i="4" s="1"/>
  <c r="H15" i="4"/>
  <c r="H34" i="4"/>
  <c r="H14" i="4"/>
  <c r="H33" i="4" s="1"/>
  <c r="H18" i="4"/>
  <c r="H32" i="4" s="1"/>
  <c r="H12" i="4"/>
  <c r="H31" i="4" s="1"/>
  <c r="H13" i="4"/>
  <c r="H30" i="4"/>
  <c r="H10" i="4"/>
  <c r="H29" i="4" s="1"/>
  <c r="H8" i="4"/>
  <c r="H28" i="4" s="1"/>
  <c r="H9" i="4"/>
  <c r="H27" i="4" s="1"/>
  <c r="H7" i="4"/>
  <c r="H26" i="4"/>
  <c r="H6" i="4"/>
  <c r="H25" i="4" s="1"/>
  <c r="H5" i="4"/>
  <c r="H24" i="4" s="1"/>
  <c r="H4" i="4"/>
  <c r="H23" i="4" s="1"/>
  <c r="I38" i="4" s="1"/>
  <c r="I46" i="4" s="1"/>
  <c r="G46" i="4" s="1"/>
  <c r="J7" i="1"/>
  <c r="H44" i="1" s="1"/>
  <c r="J8" i="1"/>
  <c r="H43" i="1"/>
  <c r="J6" i="1"/>
  <c r="H42" i="1"/>
  <c r="J9" i="1"/>
  <c r="H41" i="1" s="1"/>
  <c r="J5" i="1"/>
  <c r="H40" i="1" s="1"/>
  <c r="J4" i="1"/>
  <c r="H39" i="1"/>
  <c r="H19" i="1"/>
  <c r="H37" i="1" s="1"/>
  <c r="H17" i="1"/>
  <c r="H36" i="1"/>
  <c r="H16" i="1"/>
  <c r="H35" i="1"/>
  <c r="H15" i="1"/>
  <c r="H34" i="1" s="1"/>
  <c r="H14" i="1"/>
  <c r="H33" i="1" s="1"/>
  <c r="H18" i="1"/>
  <c r="H32" i="1"/>
  <c r="H12" i="1"/>
  <c r="H31" i="1"/>
  <c r="H13" i="1"/>
  <c r="H30" i="1" s="1"/>
  <c r="H10" i="1"/>
  <c r="H29" i="1" s="1"/>
  <c r="H8" i="1"/>
  <c r="H28" i="1" s="1"/>
  <c r="H9" i="1"/>
  <c r="H27" i="1"/>
  <c r="H7" i="1"/>
  <c r="H26" i="1" s="1"/>
  <c r="H6" i="1"/>
  <c r="H25" i="1" s="1"/>
  <c r="H5" i="1"/>
  <c r="H24" i="1" s="1"/>
  <c r="H4" i="1"/>
  <c r="H23" i="1"/>
  <c r="J7" i="3"/>
  <c r="H44" i="3" s="1"/>
  <c r="J8" i="3"/>
  <c r="H43" i="3" s="1"/>
  <c r="J6" i="3"/>
  <c r="H42" i="3" s="1"/>
  <c r="J9" i="3"/>
  <c r="H41" i="3" s="1"/>
  <c r="J5" i="3"/>
  <c r="H40" i="3" s="1"/>
  <c r="J4" i="3"/>
  <c r="H39" i="3"/>
  <c r="H19" i="3"/>
  <c r="H37" i="3" s="1"/>
  <c r="H17" i="3"/>
  <c r="H36" i="3" s="1"/>
  <c r="H16" i="3"/>
  <c r="H35" i="3" s="1"/>
  <c r="H15" i="3"/>
  <c r="H34" i="3" s="1"/>
  <c r="H14" i="3"/>
  <c r="H33" i="3"/>
  <c r="H18" i="3"/>
  <c r="H32" i="3" s="1"/>
  <c r="H12" i="3"/>
  <c r="H31" i="3" s="1"/>
  <c r="H13" i="3"/>
  <c r="H30" i="3" s="1"/>
  <c r="H10" i="3"/>
  <c r="H29" i="3" s="1"/>
  <c r="H8" i="3"/>
  <c r="H28" i="3" s="1"/>
  <c r="H9" i="3"/>
  <c r="H27" i="3" s="1"/>
  <c r="H7" i="3"/>
  <c r="H26" i="3" s="1"/>
  <c r="H6" i="3"/>
  <c r="H25" i="3" s="1"/>
  <c r="H5" i="3"/>
  <c r="H24" i="3" s="1"/>
  <c r="H4" i="3"/>
  <c r="H23" i="3" s="1"/>
  <c r="H19" i="13"/>
  <c r="H37" i="13" s="1"/>
  <c r="E37" i="13"/>
  <c r="E36" i="13"/>
  <c r="E35" i="13"/>
  <c r="E33" i="13"/>
  <c r="E32" i="13"/>
  <c r="E31" i="13"/>
  <c r="E30" i="13"/>
  <c r="E27" i="13"/>
  <c r="J7" i="13"/>
  <c r="H44" i="13" s="1"/>
  <c r="E26" i="13"/>
  <c r="E25" i="13"/>
  <c r="E24" i="13"/>
  <c r="E23" i="13"/>
  <c r="E22" i="13"/>
  <c r="E21" i="13"/>
  <c r="C18" i="13"/>
  <c r="C13" i="13"/>
  <c r="E17" i="13"/>
  <c r="E16" i="13"/>
  <c r="E15" i="13"/>
  <c r="E12" i="13"/>
  <c r="E11" i="13"/>
  <c r="E10" i="13"/>
  <c r="E9" i="13"/>
  <c r="E6" i="13"/>
  <c r="C3" i="13"/>
  <c r="H9" i="12"/>
  <c r="H27" i="12" s="1"/>
  <c r="J3" i="12"/>
  <c r="M27" i="12" s="1"/>
  <c r="J10" i="12"/>
  <c r="H3" i="1"/>
  <c r="M28" i="1" s="1"/>
  <c r="J3" i="1"/>
  <c r="M27" i="1"/>
  <c r="H10" i="9"/>
  <c r="H29" i="9"/>
  <c r="J12" i="9"/>
  <c r="H13" i="9"/>
  <c r="H30" i="9"/>
  <c r="J10" i="9"/>
  <c r="J11" i="9"/>
  <c r="M23" i="9"/>
  <c r="J3" i="8"/>
  <c r="M27" i="8" s="1"/>
  <c r="J7" i="8"/>
  <c r="H44" i="8" s="1"/>
  <c r="J5" i="7"/>
  <c r="H40" i="7"/>
  <c r="J9" i="7"/>
  <c r="H41" i="7"/>
  <c r="J8" i="7"/>
  <c r="H43" i="7" s="1"/>
  <c r="J7" i="7"/>
  <c r="H44" i="7" s="1"/>
  <c r="J3" i="7"/>
  <c r="M27" i="7" s="1"/>
  <c r="H3" i="7"/>
  <c r="M28" i="7"/>
  <c r="J11" i="1"/>
  <c r="M23" i="1"/>
  <c r="H11" i="1"/>
  <c r="M24" i="1"/>
  <c r="J11" i="4"/>
  <c r="M23" i="4"/>
  <c r="H11" i="4"/>
  <c r="M24" i="4"/>
  <c r="H3" i="4"/>
  <c r="M28" i="4"/>
  <c r="H18" i="12"/>
  <c r="H32" i="12" s="1"/>
  <c r="H18" i="11"/>
  <c r="H32" i="11" s="1"/>
  <c r="H18" i="10"/>
  <c r="H32" i="10" s="1"/>
  <c r="H18" i="9"/>
  <c r="H32" i="9"/>
  <c r="H18" i="8"/>
  <c r="H32" i="8"/>
  <c r="H18" i="7"/>
  <c r="H32" i="7" s="1"/>
  <c r="H3" i="3"/>
  <c r="M28" i="3"/>
  <c r="J11" i="3"/>
  <c r="M23" i="3" s="1"/>
  <c r="H18" i="13"/>
  <c r="H32" i="13" s="1"/>
  <c r="J11" i="12"/>
  <c r="M23" i="12"/>
  <c r="H5" i="11"/>
  <c r="H24" i="11" s="1"/>
  <c r="J8" i="11"/>
  <c r="H43" i="11" s="1"/>
  <c r="H6" i="11"/>
  <c r="H25" i="11" s="1"/>
  <c r="J3" i="11"/>
  <c r="M27" i="11" s="1"/>
  <c r="J7" i="11"/>
  <c r="H44" i="11" s="1"/>
  <c r="J4" i="11"/>
  <c r="H39" i="11" s="1"/>
  <c r="J5" i="11"/>
  <c r="H40" i="11" s="1"/>
  <c r="J9" i="11"/>
  <c r="H41" i="11" s="1"/>
  <c r="J6" i="11"/>
  <c r="H42" i="11" s="1"/>
  <c r="H14" i="7"/>
  <c r="H33" i="7"/>
  <c r="J10" i="7"/>
  <c r="H11" i="3"/>
  <c r="M24" i="3" s="1"/>
  <c r="J10" i="3"/>
  <c r="H17" i="13"/>
  <c r="H36" i="13" s="1"/>
  <c r="H16" i="13"/>
  <c r="H35" i="13" s="1"/>
  <c r="H15" i="13"/>
  <c r="H34" i="13" s="1"/>
  <c r="H14" i="13"/>
  <c r="H33" i="13" s="1"/>
  <c r="H13" i="13"/>
  <c r="H30" i="13" s="1"/>
  <c r="H12" i="13"/>
  <c r="H31" i="13" s="1"/>
  <c r="H11" i="13"/>
  <c r="M24" i="13" s="1"/>
  <c r="H10" i="13"/>
  <c r="H29" i="13" s="1"/>
  <c r="J9" i="13"/>
  <c r="H41" i="13" s="1"/>
  <c r="H9" i="13"/>
  <c r="H27" i="13" s="1"/>
  <c r="J8" i="13"/>
  <c r="H43" i="13" s="1"/>
  <c r="H8" i="13"/>
  <c r="H28" i="13" s="1"/>
  <c r="H7" i="13"/>
  <c r="H26" i="13" s="1"/>
  <c r="J6" i="13"/>
  <c r="H42" i="13" s="1"/>
  <c r="H6" i="13"/>
  <c r="H25" i="13" s="1"/>
  <c r="J5" i="13"/>
  <c r="H40" i="13" s="1"/>
  <c r="H5" i="13"/>
  <c r="H24" i="13" s="1"/>
  <c r="J4" i="13"/>
  <c r="H39" i="13" s="1"/>
  <c r="H3" i="13"/>
  <c r="M28" i="13" s="1"/>
  <c r="H17" i="12"/>
  <c r="H36" i="12" s="1"/>
  <c r="H16" i="12"/>
  <c r="H35" i="12" s="1"/>
  <c r="H15" i="12"/>
  <c r="H34" i="12" s="1"/>
  <c r="H14" i="12"/>
  <c r="H33" i="12" s="1"/>
  <c r="H13" i="12"/>
  <c r="H30" i="12" s="1"/>
  <c r="H12" i="12"/>
  <c r="H11" i="12"/>
  <c r="M24" i="12" s="1"/>
  <c r="H10" i="12"/>
  <c r="H29" i="12" s="1"/>
  <c r="J9" i="12"/>
  <c r="H41" i="12" s="1"/>
  <c r="J8" i="12"/>
  <c r="H43" i="12" s="1"/>
  <c r="H8" i="12"/>
  <c r="H28" i="12" s="1"/>
  <c r="H7" i="12"/>
  <c r="H26" i="12" s="1"/>
  <c r="J6" i="12"/>
  <c r="H42" i="12" s="1"/>
  <c r="H6" i="12"/>
  <c r="H25" i="12" s="1"/>
  <c r="J5" i="12"/>
  <c r="H40" i="12" s="1"/>
  <c r="J4" i="12"/>
  <c r="H3" i="12"/>
  <c r="M28" i="12"/>
  <c r="H17" i="11"/>
  <c r="H36" i="11" s="1"/>
  <c r="H16" i="11"/>
  <c r="H35" i="11" s="1"/>
  <c r="H15" i="11"/>
  <c r="H34" i="11" s="1"/>
  <c r="H14" i="11"/>
  <c r="H33" i="11" s="1"/>
  <c r="H13" i="11"/>
  <c r="H30" i="11" s="1"/>
  <c r="H12" i="11"/>
  <c r="H31" i="11" s="1"/>
  <c r="J11" i="11"/>
  <c r="M23" i="11" s="1"/>
  <c r="H11" i="11"/>
  <c r="M24" i="11" s="1"/>
  <c r="J10" i="11"/>
  <c r="H10" i="11"/>
  <c r="H29" i="11" s="1"/>
  <c r="H9" i="11"/>
  <c r="H27" i="11" s="1"/>
  <c r="H8" i="11"/>
  <c r="H28" i="11" s="1"/>
  <c r="H7" i="11"/>
  <c r="H26" i="11" s="1"/>
  <c r="H3" i="11"/>
  <c r="M28" i="11" s="1"/>
  <c r="H17" i="10"/>
  <c r="H36" i="10" s="1"/>
  <c r="H16" i="10"/>
  <c r="H35" i="10" s="1"/>
  <c r="H15" i="10"/>
  <c r="H34" i="10" s="1"/>
  <c r="H14" i="10"/>
  <c r="H33" i="10" s="1"/>
  <c r="H13" i="10"/>
  <c r="H30" i="10" s="1"/>
  <c r="H12" i="10"/>
  <c r="H31" i="10" s="1"/>
  <c r="J11" i="10"/>
  <c r="M23" i="10" s="1"/>
  <c r="H11" i="10"/>
  <c r="M24" i="10" s="1"/>
  <c r="H10" i="10"/>
  <c r="H29" i="10" s="1"/>
  <c r="J9" i="10"/>
  <c r="H41" i="10" s="1"/>
  <c r="H9" i="10"/>
  <c r="H27" i="10" s="1"/>
  <c r="J8" i="10"/>
  <c r="H43" i="10" s="1"/>
  <c r="H8" i="10"/>
  <c r="H28" i="10" s="1"/>
  <c r="J7" i="10"/>
  <c r="H44" i="10" s="1"/>
  <c r="H7" i="10"/>
  <c r="H26" i="10" s="1"/>
  <c r="J6" i="10"/>
  <c r="H42" i="10" s="1"/>
  <c r="H6" i="10"/>
  <c r="H25" i="10" s="1"/>
  <c r="J5" i="10"/>
  <c r="H40" i="10" s="1"/>
  <c r="H5" i="10"/>
  <c r="H24" i="10" s="1"/>
  <c r="J4" i="10"/>
  <c r="H39" i="10" s="1"/>
  <c r="H4" i="10"/>
  <c r="H23" i="10" s="1"/>
  <c r="J3" i="10"/>
  <c r="M27" i="10" s="1"/>
  <c r="H3" i="10"/>
  <c r="M28" i="10" s="1"/>
  <c r="H17" i="9"/>
  <c r="H36" i="9"/>
  <c r="H16" i="9"/>
  <c r="H35" i="9"/>
  <c r="H15" i="9"/>
  <c r="H34" i="9" s="1"/>
  <c r="H14" i="9"/>
  <c r="H33" i="9"/>
  <c r="H12" i="9"/>
  <c r="H31" i="9"/>
  <c r="H11" i="9"/>
  <c r="M24" i="9" s="1"/>
  <c r="J9" i="9"/>
  <c r="H41" i="9" s="1"/>
  <c r="H9" i="9"/>
  <c r="H27" i="9" s="1"/>
  <c r="J8" i="9"/>
  <c r="H43" i="9"/>
  <c r="H8" i="9"/>
  <c r="H28" i="9" s="1"/>
  <c r="J7" i="9"/>
  <c r="H44" i="9" s="1"/>
  <c r="J6" i="9"/>
  <c r="H42" i="9" s="1"/>
  <c r="H6" i="9"/>
  <c r="H25" i="9"/>
  <c r="J5" i="9"/>
  <c r="H40" i="9" s="1"/>
  <c r="H5" i="9"/>
  <c r="H24" i="9" s="1"/>
  <c r="J4" i="9"/>
  <c r="H39" i="9" s="1"/>
  <c r="I45" i="9" s="1"/>
  <c r="H4" i="9"/>
  <c r="H23" i="9"/>
  <c r="J3" i="9"/>
  <c r="M27" i="9" s="1"/>
  <c r="H3" i="9"/>
  <c r="M28" i="9" s="1"/>
  <c r="H17" i="8"/>
  <c r="H36" i="8" s="1"/>
  <c r="H16" i="8"/>
  <c r="H35" i="8" s="1"/>
  <c r="H15" i="8"/>
  <c r="H34" i="8" s="1"/>
  <c r="H14" i="8"/>
  <c r="H33" i="8"/>
  <c r="H13" i="8"/>
  <c r="H30" i="8" s="1"/>
  <c r="H12" i="8"/>
  <c r="H31" i="8" s="1"/>
  <c r="J11" i="8"/>
  <c r="M23" i="8" s="1"/>
  <c r="H11" i="8"/>
  <c r="M24" i="8"/>
  <c r="J10" i="8"/>
  <c r="H10" i="8"/>
  <c r="H29" i="8"/>
  <c r="J9" i="8"/>
  <c r="H41" i="8"/>
  <c r="H9" i="8"/>
  <c r="H27" i="8"/>
  <c r="J8" i="8"/>
  <c r="H43" i="8" s="1"/>
  <c r="H8" i="8"/>
  <c r="H28" i="8"/>
  <c r="H7" i="8"/>
  <c r="H26" i="8"/>
  <c r="H6" i="8"/>
  <c r="H25" i="8"/>
  <c r="J5" i="8"/>
  <c r="H40" i="8" s="1"/>
  <c r="H5" i="8"/>
  <c r="H24" i="8"/>
  <c r="J4" i="8"/>
  <c r="H39" i="8"/>
  <c r="H3" i="8"/>
  <c r="M28" i="8"/>
  <c r="H17" i="7"/>
  <c r="H36" i="7" s="1"/>
  <c r="H16" i="7"/>
  <c r="H35" i="7" s="1"/>
  <c r="H12" i="7"/>
  <c r="H31" i="7" s="1"/>
  <c r="J10" i="4"/>
  <c r="J10" i="6"/>
  <c r="J10" i="1"/>
  <c r="J11" i="7"/>
  <c r="M23" i="7" s="1"/>
  <c r="H11" i="7"/>
  <c r="M24" i="7"/>
  <c r="H10" i="7"/>
  <c r="H29" i="7" s="1"/>
  <c r="H9" i="7"/>
  <c r="H27" i="7" s="1"/>
  <c r="H8" i="7"/>
  <c r="H28" i="7" s="1"/>
  <c r="H6" i="7"/>
  <c r="H25" i="7"/>
  <c r="H5" i="7"/>
  <c r="H24" i="7" s="1"/>
  <c r="H4" i="7"/>
  <c r="H23" i="7" s="1"/>
  <c r="J3" i="4"/>
  <c r="M27" i="4"/>
  <c r="H4" i="11"/>
  <c r="H23" i="11" s="1"/>
  <c r="J3" i="3"/>
  <c r="M27" i="3"/>
  <c r="H5" i="12"/>
  <c r="H24" i="12" s="1"/>
  <c r="H4" i="12"/>
  <c r="J7" i="12"/>
  <c r="H44" i="12" s="1"/>
  <c r="J10" i="13"/>
  <c r="J11" i="13"/>
  <c r="M23" i="13" s="1"/>
  <c r="J3" i="13"/>
  <c r="M27" i="13" s="1"/>
  <c r="C7" i="13"/>
  <c r="H4" i="13"/>
  <c r="H23" i="13" s="1"/>
  <c r="E18" i="14" l="1"/>
  <c r="N25" i="13"/>
  <c r="N22" i="3" s="1"/>
  <c r="N25" i="3" s="1"/>
  <c r="N22" i="1" s="1"/>
  <c r="N25" i="1" s="1"/>
  <c r="N22" i="4" s="1"/>
  <c r="N25" i="4" s="1"/>
  <c r="N22" i="5" s="1"/>
  <c r="N25" i="5" s="1"/>
  <c r="N29" i="13"/>
  <c r="N26" i="3" s="1"/>
  <c r="N29" i="3" s="1"/>
  <c r="I45" i="13"/>
  <c r="I38" i="13"/>
  <c r="I38" i="12"/>
  <c r="I45" i="12"/>
  <c r="I38" i="9"/>
  <c r="I46" i="9" s="1"/>
  <c r="G46" i="9" s="1"/>
  <c r="I45" i="8"/>
  <c r="I38" i="8"/>
  <c r="I46" i="8" s="1"/>
  <c r="G46" i="8" s="1"/>
  <c r="I38" i="7"/>
  <c r="I45" i="7"/>
  <c r="I38" i="6"/>
  <c r="I46" i="6" s="1"/>
  <c r="G46" i="6" s="1"/>
  <c r="I45" i="6"/>
  <c r="I45" i="5"/>
  <c r="I46" i="5" s="1"/>
  <c r="G46" i="5" s="1"/>
  <c r="I38" i="1"/>
  <c r="I45" i="1"/>
  <c r="I45" i="3"/>
  <c r="I38" i="3"/>
  <c r="I46" i="3" s="1"/>
  <c r="G46" i="3" s="1"/>
  <c r="I38" i="11"/>
  <c r="I45" i="11"/>
  <c r="D18" i="14"/>
  <c r="I45" i="10"/>
  <c r="I38" i="10"/>
  <c r="I46" i="13" l="1"/>
  <c r="G46" i="13" s="1"/>
  <c r="N30" i="13"/>
  <c r="I46" i="12"/>
  <c r="G46" i="12" s="1"/>
  <c r="I46" i="7"/>
  <c r="G46" i="7" s="1"/>
  <c r="I46" i="1"/>
  <c r="G46" i="1" s="1"/>
  <c r="N30" i="3"/>
  <c r="N26" i="1"/>
  <c r="N29" i="1" s="1"/>
  <c r="N22" i="6"/>
  <c r="N25" i="6" s="1"/>
  <c r="I46" i="11"/>
  <c r="G46" i="11" s="1"/>
  <c r="I46" i="10"/>
  <c r="G46" i="10" s="1"/>
  <c r="N26" i="4" l="1"/>
  <c r="N29" i="4" s="1"/>
  <c r="N30" i="1"/>
  <c r="N22" i="7"/>
  <c r="N25" i="7" s="1"/>
  <c r="N26" i="5" l="1"/>
  <c r="N29" i="5" s="1"/>
  <c r="N30" i="4"/>
  <c r="N22" i="8"/>
  <c r="N25" i="8" s="1"/>
  <c r="N26" i="6" l="1"/>
  <c r="N29" i="6" s="1"/>
  <c r="N30" i="5"/>
  <c r="N22" i="9"/>
  <c r="N25" i="9" s="1"/>
  <c r="N26" i="7" l="1"/>
  <c r="N29" i="7" s="1"/>
  <c r="N30" i="6"/>
  <c r="N22" i="10"/>
  <c r="N25" i="10" s="1"/>
  <c r="N26" i="8" l="1"/>
  <c r="N29" i="8" s="1"/>
  <c r="N30" i="7"/>
  <c r="N22" i="11"/>
  <c r="N25" i="11" s="1"/>
  <c r="N26" i="9" l="1"/>
  <c r="N29" i="9" s="1"/>
  <c r="N30" i="8"/>
  <c r="N22" i="12"/>
  <c r="N25" i="12" s="1"/>
  <c r="N26" i="10" l="1"/>
  <c r="N29" i="10" s="1"/>
  <c r="N30" i="9"/>
  <c r="N26" i="11" l="1"/>
  <c r="N29" i="11" s="1"/>
  <c r="N30" i="10"/>
  <c r="N26" i="12" l="1"/>
  <c r="N29" i="12" s="1"/>
  <c r="N30" i="11"/>
  <c r="N30" i="12" l="1"/>
</calcChain>
</file>

<file path=xl/sharedStrings.xml><?xml version="1.0" encoding="utf-8"?>
<sst xmlns="http://schemas.openxmlformats.org/spreadsheetml/2006/main" count="984" uniqueCount="105">
  <si>
    <t>仕分け</t>
    <rPh sb="0" eb="2">
      <t>シワ</t>
    </rPh>
    <phoneticPr fontId="1"/>
  </si>
  <si>
    <t>日付</t>
    <rPh sb="0" eb="2">
      <t>ヒヅケ</t>
    </rPh>
    <phoneticPr fontId="1"/>
  </si>
  <si>
    <t>金額</t>
    <rPh sb="0" eb="2">
      <t>キンガク</t>
    </rPh>
    <phoneticPr fontId="1"/>
  </si>
  <si>
    <t>借方科目</t>
    <rPh sb="0" eb="2">
      <t>カリカタ</t>
    </rPh>
    <rPh sb="2" eb="4">
      <t>カモク</t>
    </rPh>
    <phoneticPr fontId="1"/>
  </si>
  <si>
    <t>貸方科目</t>
    <rPh sb="0" eb="2">
      <t>カシカタ</t>
    </rPh>
    <rPh sb="2" eb="4">
      <t>カモク</t>
    </rPh>
    <phoneticPr fontId="1"/>
  </si>
  <si>
    <t>合計</t>
    <rPh sb="0" eb="2">
      <t>ゴウケイ</t>
    </rPh>
    <phoneticPr fontId="1"/>
  </si>
  <si>
    <t>現金</t>
    <rPh sb="0" eb="2">
      <t>ゲンキン</t>
    </rPh>
    <phoneticPr fontId="1"/>
  </si>
  <si>
    <t>交通費</t>
    <rPh sb="0" eb="3">
      <t>コウツウヒ</t>
    </rPh>
    <phoneticPr fontId="1"/>
  </si>
  <si>
    <t>食費</t>
    <rPh sb="0" eb="2">
      <t>ショクヒ</t>
    </rPh>
    <phoneticPr fontId="1"/>
  </si>
  <si>
    <t>生活費</t>
    <rPh sb="0" eb="3">
      <t>セイカツヒ</t>
    </rPh>
    <phoneticPr fontId="1"/>
  </si>
  <si>
    <t>携帯電話料金</t>
    <rPh sb="0" eb="4">
      <t>ケイタイデンワ</t>
    </rPh>
    <rPh sb="4" eb="6">
      <t>リョウキン</t>
    </rPh>
    <phoneticPr fontId="1"/>
  </si>
  <si>
    <t>給料</t>
    <rPh sb="0" eb="2">
      <t>キュウリョウ</t>
    </rPh>
    <phoneticPr fontId="1"/>
  </si>
  <si>
    <t>売上金</t>
    <rPh sb="0" eb="2">
      <t>ウリアゲ</t>
    </rPh>
    <rPh sb="2" eb="3">
      <t>キン</t>
    </rPh>
    <phoneticPr fontId="1"/>
  </si>
  <si>
    <t>雑益</t>
    <rPh sb="0" eb="2">
      <t>ザツエキ</t>
    </rPh>
    <phoneticPr fontId="1"/>
  </si>
  <si>
    <t>クレジット</t>
    <phoneticPr fontId="1"/>
  </si>
  <si>
    <t>娯楽費</t>
    <phoneticPr fontId="1"/>
  </si>
  <si>
    <t>自己研鑽費</t>
    <rPh sb="0" eb="4">
      <t>ジコケンサン</t>
    </rPh>
    <rPh sb="4" eb="5">
      <t>ヒ</t>
    </rPh>
    <phoneticPr fontId="1"/>
  </si>
  <si>
    <t>会社立替費</t>
    <rPh sb="0" eb="2">
      <t>カイシャ</t>
    </rPh>
    <rPh sb="2" eb="4">
      <t>タテカエ</t>
    </rPh>
    <rPh sb="4" eb="5">
      <t>ヒ</t>
    </rPh>
    <phoneticPr fontId="1"/>
  </si>
  <si>
    <t>損益計算書</t>
    <rPh sb="0" eb="5">
      <t>ソンエキケイサンショ</t>
    </rPh>
    <phoneticPr fontId="1"/>
  </si>
  <si>
    <t>当座預金</t>
    <rPh sb="0" eb="4">
      <t>トウザヨキン</t>
    </rPh>
    <phoneticPr fontId="1"/>
  </si>
  <si>
    <t>支払い当座預金</t>
    <rPh sb="0" eb="2">
      <t>シハラ</t>
    </rPh>
    <rPh sb="3" eb="7">
      <t>トウザヨキン</t>
    </rPh>
    <phoneticPr fontId="1"/>
  </si>
  <si>
    <t>受取り当座預金</t>
    <rPh sb="0" eb="2">
      <t>ウケト</t>
    </rPh>
    <rPh sb="3" eb="7">
      <t>トウザヨキン</t>
    </rPh>
    <phoneticPr fontId="1"/>
  </si>
  <si>
    <t>支払い現金</t>
    <rPh sb="0" eb="2">
      <t>シハラ</t>
    </rPh>
    <rPh sb="3" eb="5">
      <t>ゲンキン</t>
    </rPh>
    <phoneticPr fontId="1"/>
  </si>
  <si>
    <t>受取り現金</t>
    <rPh sb="0" eb="2">
      <t>ウケト</t>
    </rPh>
    <rPh sb="3" eb="5">
      <t>ゲンキン</t>
    </rPh>
    <phoneticPr fontId="1"/>
  </si>
  <si>
    <t>費用合計</t>
    <rPh sb="0" eb="2">
      <t>ヒヨウ</t>
    </rPh>
    <rPh sb="2" eb="4">
      <t>ゴウケイ</t>
    </rPh>
    <phoneticPr fontId="1"/>
  </si>
  <si>
    <t>売上金</t>
    <rPh sb="0" eb="3">
      <t>ウリアゲキン</t>
    </rPh>
    <phoneticPr fontId="1"/>
  </si>
  <si>
    <t>収入合計</t>
    <rPh sb="0" eb="2">
      <t>シュウニュウ</t>
    </rPh>
    <rPh sb="2" eb="4">
      <t>ゴウケイ</t>
    </rPh>
    <phoneticPr fontId="1"/>
  </si>
  <si>
    <t>医療費</t>
    <rPh sb="0" eb="3">
      <t>イリョウヒ</t>
    </rPh>
    <phoneticPr fontId="1"/>
  </si>
  <si>
    <t>備品費</t>
    <rPh sb="0" eb="2">
      <t>ビヒン</t>
    </rPh>
    <rPh sb="2" eb="3">
      <t>ヒ</t>
    </rPh>
    <phoneticPr fontId="1"/>
  </si>
  <si>
    <t>備品費</t>
    <rPh sb="0" eb="3">
      <t>ビヒンヒ</t>
    </rPh>
    <phoneticPr fontId="1"/>
  </si>
  <si>
    <t>資産合計額</t>
    <rPh sb="0" eb="2">
      <t>シサン</t>
    </rPh>
    <rPh sb="2" eb="4">
      <t>ゴウケイ</t>
    </rPh>
    <rPh sb="4" eb="5">
      <t>ガク</t>
    </rPh>
    <phoneticPr fontId="1"/>
  </si>
  <si>
    <t>交際費</t>
    <rPh sb="0" eb="3">
      <t>コウサイヒ</t>
    </rPh>
    <phoneticPr fontId="1"/>
  </si>
  <si>
    <t>ガス料金</t>
    <rPh sb="2" eb="4">
      <t>リョウキン</t>
    </rPh>
    <phoneticPr fontId="1"/>
  </si>
  <si>
    <t>家賃料(駐輪場代含)</t>
    <rPh sb="0" eb="2">
      <t>ヤチン</t>
    </rPh>
    <rPh sb="2" eb="3">
      <t>リョウ</t>
    </rPh>
    <rPh sb="4" eb="8">
      <t>チュウリンジョウダイ</t>
    </rPh>
    <rPh sb="8" eb="9">
      <t>フク</t>
    </rPh>
    <phoneticPr fontId="1"/>
  </si>
  <si>
    <t>水道料金</t>
    <rPh sb="0" eb="2">
      <t>スイドウ</t>
    </rPh>
    <rPh sb="2" eb="4">
      <t>リョウキン</t>
    </rPh>
    <phoneticPr fontId="1"/>
  </si>
  <si>
    <t>電気料金</t>
    <rPh sb="0" eb="2">
      <t>デンキ</t>
    </rPh>
    <rPh sb="2" eb="4">
      <t>リョウキン</t>
    </rPh>
    <phoneticPr fontId="1"/>
  </si>
  <si>
    <t>電気料金</t>
    <rPh sb="0" eb="4">
      <t>デンキリョウキン</t>
    </rPh>
    <phoneticPr fontId="1"/>
  </si>
  <si>
    <t>食費</t>
  </si>
  <si>
    <t>交通費</t>
  </si>
  <si>
    <t>生活費</t>
  </si>
  <si>
    <t>現金</t>
  </si>
  <si>
    <t>自己研鑽費</t>
  </si>
  <si>
    <t>クレジット</t>
  </si>
  <si>
    <t>娯楽費</t>
  </si>
  <si>
    <t>当座預金</t>
  </si>
  <si>
    <t>当座預金</t>
    <phoneticPr fontId="1"/>
  </si>
  <si>
    <t>給料</t>
  </si>
  <si>
    <t>電気料金</t>
  </si>
  <si>
    <t>ガス料金</t>
  </si>
  <si>
    <t>水道料金</t>
  </si>
  <si>
    <t>　</t>
  </si>
  <si>
    <t>当期決算</t>
  </si>
  <si>
    <t>収益</t>
  </si>
  <si>
    <t>損失</t>
  </si>
  <si>
    <t>純利益/損失</t>
  </si>
  <si>
    <t>回収率</t>
  </si>
  <si>
    <t>娯楽</t>
  </si>
  <si>
    <t>銀行払い</t>
  </si>
  <si>
    <t>現金支払い</t>
  </si>
  <si>
    <t>家賃(駐輪場代含)</t>
  </si>
  <si>
    <t xml:space="preserve">ガス料金 </t>
  </si>
  <si>
    <t>雑費</t>
    <rPh sb="0" eb="2">
      <t>ザッピ</t>
    </rPh>
    <phoneticPr fontId="1"/>
  </si>
  <si>
    <t>給与</t>
  </si>
  <si>
    <t xml:space="preserve"> 3月</t>
  </si>
  <si>
    <t xml:space="preserve"> 4月</t>
  </si>
  <si>
    <t xml:space="preserve"> 5月</t>
  </si>
  <si>
    <t xml:space="preserve"> 6月</t>
  </si>
  <si>
    <t xml:space="preserve"> 7月</t>
  </si>
  <si>
    <t xml:space="preserve"> 8月</t>
  </si>
  <si>
    <t xml:space="preserve"> 9月</t>
  </si>
  <si>
    <t xml:space="preserve"> 10月</t>
  </si>
  <si>
    <t xml:space="preserve"> 11月</t>
  </si>
  <si>
    <t xml:space="preserve"> 12月</t>
  </si>
  <si>
    <t xml:space="preserve"> 1月</t>
  </si>
  <si>
    <t xml:space="preserve"> 2月</t>
  </si>
  <si>
    <t>携帯電話料金</t>
  </si>
  <si>
    <t>手動で入力(他の月は自動引継ぎ)</t>
    <rPh sb="0" eb="2">
      <t>シュドウ</t>
    </rPh>
    <rPh sb="3" eb="5">
      <t>ニュウリョク</t>
    </rPh>
    <rPh sb="6" eb="7">
      <t>ホカ</t>
    </rPh>
    <rPh sb="8" eb="9">
      <t>ツキ</t>
    </rPh>
    <rPh sb="10" eb="12">
      <t>ジドウ</t>
    </rPh>
    <rPh sb="12" eb="14">
      <t>ヒキツ</t>
    </rPh>
    <phoneticPr fontId="1"/>
  </si>
  <si>
    <t>はじめに</t>
    <phoneticPr fontId="1"/>
  </si>
  <si>
    <t>目的</t>
    <rPh sb="0" eb="2">
      <t>モクテキ</t>
    </rPh>
    <phoneticPr fontId="1"/>
  </si>
  <si>
    <t>日次、月次、年次に帳簿(家計簿)をつけていくことで</t>
    <rPh sb="0" eb="2">
      <t>ニチジ</t>
    </rPh>
    <rPh sb="3" eb="5">
      <t>ゲツジ</t>
    </rPh>
    <rPh sb="6" eb="8">
      <t>ネンジ</t>
    </rPh>
    <rPh sb="9" eb="11">
      <t>チョウボ</t>
    </rPh>
    <rPh sb="12" eb="15">
      <t>カケイボ</t>
    </rPh>
    <phoneticPr fontId="1"/>
  </si>
  <si>
    <t>過去・現在の状況を確認します。</t>
    <rPh sb="0" eb="2">
      <t>カコ</t>
    </rPh>
    <rPh sb="3" eb="5">
      <t>ゲンザイ</t>
    </rPh>
    <rPh sb="6" eb="8">
      <t>ジョウキョウ</t>
    </rPh>
    <rPh sb="9" eb="11">
      <t>カクニン</t>
    </rPh>
    <phoneticPr fontId="1"/>
  </si>
  <si>
    <t>シートの説明</t>
    <rPh sb="4" eb="6">
      <t>セツメイ</t>
    </rPh>
    <phoneticPr fontId="1"/>
  </si>
  <si>
    <t>[〇月]シート</t>
    <rPh sb="2" eb="3">
      <t>ツキ</t>
    </rPh>
    <phoneticPr fontId="1"/>
  </si>
  <si>
    <t>必要なスキル</t>
    <rPh sb="0" eb="2">
      <t>ヒツヨウ</t>
    </rPh>
    <phoneticPr fontId="1"/>
  </si>
  <si>
    <t>日商簿記3級程度</t>
    <rPh sb="0" eb="2">
      <t>ニッショウ</t>
    </rPh>
    <rPh sb="2" eb="4">
      <t>ボキ</t>
    </rPh>
    <rPh sb="5" eb="6">
      <t>キュウ</t>
    </rPh>
    <rPh sb="6" eb="8">
      <t>テイド</t>
    </rPh>
    <phoneticPr fontId="1"/>
  </si>
  <si>
    <t>仕分けができる</t>
    <rPh sb="0" eb="2">
      <t>シワ</t>
    </rPh>
    <phoneticPr fontId="1"/>
  </si>
  <si>
    <t>貸借対照表、損益計算書が読める</t>
    <rPh sb="6" eb="11">
      <t>ソンエキケイサンショ</t>
    </rPh>
    <rPh sb="12" eb="13">
      <t>ヨ</t>
    </rPh>
    <phoneticPr fontId="1"/>
  </si>
  <si>
    <t>当座預金残高</t>
    <rPh sb="0" eb="4">
      <t>トウザヨキン</t>
    </rPh>
    <rPh sb="4" eb="6">
      <t>ザンダカ</t>
    </rPh>
    <phoneticPr fontId="1"/>
  </si>
  <si>
    <t>現金残高</t>
    <rPh sb="0" eb="2">
      <t>ゲンキン</t>
    </rPh>
    <rPh sb="2" eb="4">
      <t>ザンダカ</t>
    </rPh>
    <phoneticPr fontId="1"/>
  </si>
  <si>
    <t>前月当座預金</t>
    <rPh sb="0" eb="1">
      <t>マエ</t>
    </rPh>
    <rPh sb="1" eb="2">
      <t>ツキ</t>
    </rPh>
    <rPh sb="2" eb="6">
      <t>トウザヨキン</t>
    </rPh>
    <phoneticPr fontId="1"/>
  </si>
  <si>
    <t>前月現金</t>
    <rPh sb="0" eb="1">
      <t>マエ</t>
    </rPh>
    <rPh sb="1" eb="2">
      <t>ツキ</t>
    </rPh>
    <rPh sb="2" eb="4">
      <t>ゲンキン</t>
    </rPh>
    <phoneticPr fontId="1"/>
  </si>
  <si>
    <t>年度別決算表</t>
    <rPh sb="0" eb="3">
      <t>ネンドベツ</t>
    </rPh>
    <rPh sb="3" eb="5">
      <t>ケッサン</t>
    </rPh>
    <rPh sb="5" eb="6">
      <t>ヒョウ</t>
    </rPh>
    <phoneticPr fontId="1"/>
  </si>
  <si>
    <t>その日、その月のお金の動きを記載します。</t>
    <rPh sb="2" eb="3">
      <t>ヒ</t>
    </rPh>
    <rPh sb="6" eb="7">
      <t>ツキ</t>
    </rPh>
    <rPh sb="9" eb="10">
      <t>カネ</t>
    </rPh>
    <rPh sb="11" eb="12">
      <t>ウゴ</t>
    </rPh>
    <rPh sb="14" eb="16">
      <t>キサイ</t>
    </rPh>
    <phoneticPr fontId="1"/>
  </si>
  <si>
    <t>資産計算表</t>
    <rPh sb="0" eb="2">
      <t>シサン</t>
    </rPh>
    <rPh sb="2" eb="4">
      <t>ケイサン</t>
    </rPh>
    <rPh sb="4" eb="5">
      <t>ヒョウ</t>
    </rPh>
    <phoneticPr fontId="1"/>
  </si>
  <si>
    <t>[年度別決算]シート</t>
    <phoneticPr fontId="1"/>
  </si>
  <si>
    <t>年度ごとに、各月の費用額、収入額、利益/損失額などを決算表およびグラフに表示します。</t>
    <rPh sb="0" eb="2">
      <t>ネンド</t>
    </rPh>
    <rPh sb="6" eb="8">
      <t>カクツキ</t>
    </rPh>
    <rPh sb="9" eb="11">
      <t>ヒヨウ</t>
    </rPh>
    <rPh sb="11" eb="12">
      <t>ガク</t>
    </rPh>
    <rPh sb="13" eb="15">
      <t>シュウニュウ</t>
    </rPh>
    <rPh sb="15" eb="16">
      <t>ガク</t>
    </rPh>
    <rPh sb="17" eb="19">
      <t>リエキ</t>
    </rPh>
    <rPh sb="20" eb="23">
      <t>ソンシツガク</t>
    </rPh>
    <rPh sb="26" eb="28">
      <t>ケッサン</t>
    </rPh>
    <rPh sb="28" eb="29">
      <t>ヒョウ</t>
    </rPh>
    <rPh sb="36" eb="38">
      <t>ヒョウジ</t>
    </rPh>
    <phoneticPr fontId="1"/>
  </si>
  <si>
    <t>詳細は、[年度別決算]シートをご覧ください。</t>
    <rPh sb="0" eb="2">
      <t>ショウサイ</t>
    </rPh>
    <rPh sb="16" eb="17">
      <t>ラン</t>
    </rPh>
    <phoneticPr fontId="1"/>
  </si>
  <si>
    <t>詳細は、「4月」シートをご覧ください。</t>
    <rPh sb="0" eb="2">
      <t>ショウサイ</t>
    </rPh>
    <rPh sb="6" eb="7">
      <t>ガツ</t>
    </rPh>
    <rPh sb="13" eb="14">
      <t>ラン</t>
    </rPh>
    <phoneticPr fontId="1"/>
  </si>
  <si>
    <t>著作権について</t>
    <rPh sb="0" eb="3">
      <t>チョサクケン</t>
    </rPh>
    <phoneticPr fontId="1"/>
  </si>
  <si>
    <t>個人の範囲内でのツールの利活用が認められますが、無断転用・複製を禁じます。</t>
    <rPh sb="0" eb="2">
      <t>コジン</t>
    </rPh>
    <rPh sb="3" eb="6">
      <t>ハンイナイ</t>
    </rPh>
    <rPh sb="12" eb="15">
      <t>リカツヨウ</t>
    </rPh>
    <rPh sb="16" eb="17">
      <t>ミト</t>
    </rPh>
    <rPh sb="24" eb="26">
      <t>ムダン</t>
    </rPh>
    <rPh sb="26" eb="28">
      <t>テンヨウ</t>
    </rPh>
    <rPh sb="29" eb="31">
      <t>フクセイ</t>
    </rPh>
    <rPh sb="32" eb="33">
      <t>キン</t>
    </rPh>
    <phoneticPr fontId="1"/>
  </si>
  <si>
    <t>本ツールの著作権は、下記製作者に帰属します。</t>
    <rPh sb="0" eb="1">
      <t>ホン</t>
    </rPh>
    <rPh sb="5" eb="8">
      <t>チョサクケン</t>
    </rPh>
    <rPh sb="10" eb="12">
      <t>カキ</t>
    </rPh>
    <rPh sb="12" eb="15">
      <t>セイサクシャ</t>
    </rPh>
    <rPh sb="16" eb="18">
      <t>キゾク</t>
    </rPh>
    <phoneticPr fontId="1"/>
  </si>
  <si>
    <t>製作者</t>
    <rPh sb="0" eb="2">
      <t>セイサク</t>
    </rPh>
    <rPh sb="2" eb="3">
      <t>シャ</t>
    </rPh>
    <phoneticPr fontId="1"/>
  </si>
  <si>
    <t>製作者名：おにぎり</t>
    <rPh sb="0" eb="2">
      <t>セイサク</t>
    </rPh>
    <rPh sb="2" eb="3">
      <t>シャ</t>
    </rPh>
    <rPh sb="3" eb="4">
      <t>メイ</t>
    </rPh>
    <phoneticPr fontId="1"/>
  </si>
  <si>
    <t>連絡先：@nico_ac_chi   (Twitter)</t>
    <rPh sb="0" eb="3">
      <t>レンラクサキ</t>
    </rPh>
    <phoneticPr fontId="1"/>
  </si>
  <si>
    <t>https://twitter.com/nico_ac_chi</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</si>
</sst>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Red]&quot;¥&quot;\-#,##0"/>
    <numFmt numFmtId="42" formatCode="_ &quot;¥&quot;* #,##0_ ;_ &quot;¥&quot;* \-#,##0_ ;_ &quot;¥&quot;* &quot;-&quot;_ ;_ @_ "/>
    <numFmt numFmtId="176" formatCode="_-[$¥-411]* #,##0_ ;_-[$¥-411]* \-#,##0\ ;_-[$¥-411]* &quot;-&quot;_ ;_-@_ "/>
    <numFmt numFmtId="177" formatCode="_ &quot;¥&quot;* #,##0_ ;_ &quot;¥&quot;* \-#,##0_ ;_ &quot;¥&quot;* "/>
  </numFmts>
  <fonts count="8">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name val="游ゴシック"/>
      <family val="3"/>
      <charset val="128"/>
      <scheme val="minor"/>
    </font>
    <font>
      <sz val="11.5"/>
      <color rgb="FF000000"/>
      <name val="游ゴシック"/>
      <family val="3"/>
      <charset val="128"/>
      <scheme val="minor"/>
    </font>
    <font>
      <sz val="11"/>
      <color rgb="FF000000"/>
      <name val="游ゴシック"/>
      <family val="3"/>
      <charset val="128"/>
    </font>
    <font>
      <b/>
      <sz val="18"/>
      <color theme="1"/>
      <name val="游ゴシック"/>
      <family val="3"/>
      <charset val="128"/>
      <scheme val="minor"/>
    </font>
    <font>
      <b/>
      <sz val="14"/>
      <name val="Adobe Gothic Std B"/>
      <family val="3"/>
      <charset val="128"/>
    </font>
  </fonts>
  <fills count="3">
    <fill>
      <patternFill patternType="none"/>
    </fill>
    <fill>
      <patternFill patternType="gray125"/>
    </fill>
    <fill>
      <patternFill patternType="solid">
        <fgColor theme="7" tint="0.39997558519241921"/>
        <bgColor indexed="64"/>
      </patternFill>
    </fill>
  </fills>
  <borders count="4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medium">
        <color indexed="64"/>
      </right>
      <top/>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rgb="FF505050"/>
      </left>
      <right style="thin">
        <color rgb="FF505050"/>
      </right>
      <top style="thin">
        <color rgb="FF505050"/>
      </top>
      <bottom style="thin">
        <color rgb="FF505050"/>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s>
  <cellStyleXfs count="3">
    <xf numFmtId="0" fontId="0" fillId="0" borderId="0">
      <alignment vertical="center"/>
    </xf>
    <xf numFmtId="6" fontId="2" fillId="0" borderId="0" applyFont="0" applyFill="0" applyBorder="0" applyAlignment="0" applyProtection="0">
      <alignment vertical="center"/>
    </xf>
    <xf numFmtId="9" fontId="2" fillId="0" borderId="0" applyFont="0" applyFill="0" applyBorder="0" applyAlignment="0" applyProtection="0">
      <alignment vertical="center"/>
    </xf>
  </cellStyleXfs>
  <cellXfs count="133">
    <xf numFmtId="0" fontId="0" fillId="0" borderId="0" xfId="0">
      <alignment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2" xfId="0" applyBorder="1" applyAlignment="1">
      <alignment horizontal="center" vertical="center"/>
    </xf>
    <xf numFmtId="42" fontId="0" fillId="0" borderId="2" xfId="0" applyNumberFormat="1" applyBorder="1">
      <alignment vertical="center"/>
    </xf>
    <xf numFmtId="42" fontId="0" fillId="0" borderId="1" xfId="0" applyNumberFormat="1" applyBorder="1">
      <alignment vertical="center"/>
    </xf>
    <xf numFmtId="0" fontId="0" fillId="0" borderId="5" xfId="0" applyBorder="1" applyAlignment="1">
      <alignment horizontal="center" vertical="center"/>
    </xf>
    <xf numFmtId="6" fontId="0" fillId="0" borderId="2" xfId="1" applyFont="1" applyBorder="1">
      <alignment vertical="center"/>
    </xf>
    <xf numFmtId="0" fontId="0" fillId="0" borderId="6" xfId="0" applyBorder="1">
      <alignment vertical="center"/>
    </xf>
    <xf numFmtId="6" fontId="0" fillId="0" borderId="0" xfId="0" applyNumberFormat="1">
      <alignment vertical="center"/>
    </xf>
    <xf numFmtId="0" fontId="0" fillId="0" borderId="11" xfId="0" applyBorder="1">
      <alignment vertical="center"/>
    </xf>
    <xf numFmtId="6" fontId="0" fillId="0" borderId="12" xfId="0" applyNumberFormat="1" applyBorder="1">
      <alignment vertical="center"/>
    </xf>
    <xf numFmtId="0" fontId="0" fillId="0" borderId="13" xfId="0" applyBorder="1">
      <alignment vertical="center"/>
    </xf>
    <xf numFmtId="0" fontId="0" fillId="0" borderId="14" xfId="0" applyBorder="1">
      <alignment vertical="center"/>
    </xf>
    <xf numFmtId="6" fontId="0" fillId="0" borderId="15" xfId="0" applyNumberFormat="1" applyBorder="1">
      <alignment vertical="center"/>
    </xf>
    <xf numFmtId="0" fontId="0" fillId="0" borderId="7" xfId="0" applyBorder="1">
      <alignment vertical="center"/>
    </xf>
    <xf numFmtId="0" fontId="0" fillId="0" borderId="7" xfId="0" applyBorder="1" applyAlignment="1">
      <alignment horizontal="center" vertical="center"/>
    </xf>
    <xf numFmtId="0" fontId="0" fillId="0" borderId="16" xfId="0" applyBorder="1">
      <alignment vertical="center"/>
    </xf>
    <xf numFmtId="6" fontId="0" fillId="0" borderId="9" xfId="0" applyNumberFormat="1" applyBorder="1">
      <alignment vertical="center"/>
    </xf>
    <xf numFmtId="0" fontId="0" fillId="0" borderId="10" xfId="0" applyBorder="1">
      <alignment vertical="center"/>
    </xf>
    <xf numFmtId="0" fontId="0" fillId="0" borderId="3"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6" fontId="0" fillId="0" borderId="22" xfId="0" applyNumberFormat="1" applyBorder="1">
      <alignment vertical="center"/>
    </xf>
    <xf numFmtId="0" fontId="2" fillId="0" borderId="0" xfId="0" applyFont="1">
      <alignment vertical="center"/>
    </xf>
    <xf numFmtId="0" fontId="2" fillId="0" borderId="2" xfId="0" applyFont="1" applyBorder="1" applyAlignment="1">
      <alignment horizontal="center" vertical="center"/>
    </xf>
    <xf numFmtId="42" fontId="2" fillId="0" borderId="2" xfId="0" applyNumberFormat="1" applyFont="1" applyBorder="1">
      <alignment vertical="center"/>
    </xf>
    <xf numFmtId="42" fontId="2" fillId="0" borderId="2" xfId="0" applyNumberFormat="1" applyFont="1" applyBorder="1" applyAlignment="1">
      <alignment horizontal="center" vertical="center"/>
    </xf>
    <xf numFmtId="0" fontId="0" fillId="0" borderId="0" xfId="0" applyProtection="1">
      <alignment vertical="center"/>
      <protection locked="0"/>
    </xf>
    <xf numFmtId="0" fontId="0" fillId="0" borderId="2" xfId="0" applyBorder="1">
      <alignment vertical="center"/>
    </xf>
    <xf numFmtId="6" fontId="0" fillId="0" borderId="2" xfId="0" applyNumberFormat="1" applyBorder="1">
      <alignment vertical="center"/>
    </xf>
    <xf numFmtId="42" fontId="0" fillId="0" borderId="25" xfId="0" applyNumberFormat="1" applyBorder="1">
      <alignment vertical="center"/>
    </xf>
    <xf numFmtId="42" fontId="0" fillId="0" borderId="5" xfId="0" applyNumberFormat="1" applyBorder="1" applyAlignment="1">
      <alignment horizontal="center" vertical="center"/>
    </xf>
    <xf numFmtId="42" fontId="0" fillId="0" borderId="0" xfId="0" applyNumberFormat="1">
      <alignment vertical="center"/>
    </xf>
    <xf numFmtId="42" fontId="0" fillId="0" borderId="5" xfId="0" applyNumberFormat="1" applyBorder="1">
      <alignment vertical="center"/>
    </xf>
    <xf numFmtId="6" fontId="0" fillId="0" borderId="1" xfId="0" applyNumberFormat="1" applyBorder="1">
      <alignment vertical="center"/>
    </xf>
    <xf numFmtId="0" fontId="0" fillId="0" borderId="24" xfId="0" applyBorder="1" applyAlignment="1">
      <alignment horizontal="center" vertical="center"/>
    </xf>
    <xf numFmtId="0" fontId="0" fillId="0" borderId="26" xfId="0" applyBorder="1">
      <alignment vertical="center"/>
    </xf>
    <xf numFmtId="3" fontId="4" fillId="0" borderId="0" xfId="0" applyNumberFormat="1" applyFont="1">
      <alignment vertical="center"/>
    </xf>
    <xf numFmtId="0" fontId="0" fillId="0" borderId="2" xfId="0" applyFill="1" applyBorder="1" applyAlignment="1">
      <alignment horizontal="center" vertical="center"/>
    </xf>
    <xf numFmtId="0" fontId="0" fillId="0" borderId="28" xfId="0" applyBorder="1" applyAlignment="1">
      <alignment horizontal="center" vertical="center"/>
    </xf>
    <xf numFmtId="0" fontId="0" fillId="0" borderId="25" xfId="0" applyBorder="1">
      <alignment vertical="center"/>
    </xf>
    <xf numFmtId="6" fontId="0" fillId="0" borderId="0" xfId="0" applyNumberFormat="1" applyBorder="1">
      <alignment vertical="center"/>
    </xf>
    <xf numFmtId="0" fontId="0" fillId="0" borderId="17" xfId="0" applyBorder="1" applyAlignment="1">
      <alignment horizontal="center" vertical="center"/>
    </xf>
    <xf numFmtId="0" fontId="0" fillId="0" borderId="29" xfId="0" applyBorder="1" applyAlignment="1">
      <alignment horizontal="center" vertical="center"/>
    </xf>
    <xf numFmtId="42" fontId="0" fillId="0" borderId="28" xfId="0" applyNumberFormat="1" applyBorder="1" applyAlignment="1">
      <alignment horizontal="center" vertical="center"/>
    </xf>
    <xf numFmtId="176" fontId="0" fillId="0" borderId="0" xfId="0" applyNumberFormat="1" applyAlignment="1">
      <alignment vertical="center"/>
    </xf>
    <xf numFmtId="6" fontId="0" fillId="0" borderId="23" xfId="1" applyFont="1" applyBorder="1">
      <alignment vertical="center"/>
    </xf>
    <xf numFmtId="0" fontId="0" fillId="0" borderId="18" xfId="0" applyBorder="1" applyAlignment="1">
      <alignment horizontal="center" vertical="center"/>
    </xf>
    <xf numFmtId="0" fontId="2" fillId="0" borderId="0" xfId="0" applyFont="1" applyBorder="1" applyAlignment="1">
      <alignment horizontal="center" vertical="center"/>
    </xf>
    <xf numFmtId="0" fontId="2" fillId="0" borderId="0" xfId="0" applyFont="1" applyBorder="1">
      <alignment vertical="center"/>
    </xf>
    <xf numFmtId="177" fontId="2" fillId="0" borderId="2" xfId="0" applyNumberFormat="1" applyFont="1" applyBorder="1" applyAlignment="1">
      <alignment horizontal="center" vertical="center"/>
    </xf>
    <xf numFmtId="42" fontId="2" fillId="0" borderId="0" xfId="0" applyNumberFormat="1" applyFont="1" applyBorder="1">
      <alignment vertical="center"/>
    </xf>
    <xf numFmtId="9" fontId="3" fillId="0" borderId="0" xfId="0" applyNumberFormat="1" applyFont="1" applyBorder="1">
      <alignment vertical="center"/>
    </xf>
    <xf numFmtId="177" fontId="2" fillId="0" borderId="0" xfId="0" applyNumberFormat="1" applyFont="1" applyBorder="1">
      <alignment vertical="center"/>
    </xf>
    <xf numFmtId="0" fontId="0" fillId="0" borderId="34" xfId="0" applyBorder="1" applyAlignment="1">
      <alignment horizontal="center" vertical="center"/>
    </xf>
    <xf numFmtId="176" fontId="0" fillId="0" borderId="27" xfId="0" applyNumberFormat="1" applyBorder="1">
      <alignment vertical="center"/>
    </xf>
    <xf numFmtId="9" fontId="2" fillId="0" borderId="2" xfId="2" applyNumberFormat="1" applyFont="1" applyBorder="1">
      <alignment vertical="center"/>
    </xf>
    <xf numFmtId="177" fontId="2" fillId="0" borderId="2" xfId="1" applyNumberFormat="1" applyBorder="1">
      <alignment vertical="center"/>
    </xf>
    <xf numFmtId="177" fontId="2" fillId="0" borderId="2" xfId="1" applyNumberFormat="1" applyBorder="1" applyAlignment="1">
      <alignment horizontal="center" vertical="center"/>
    </xf>
    <xf numFmtId="42" fontId="0" fillId="0" borderId="35" xfId="0" applyNumberFormat="1" applyBorder="1">
      <alignment vertical="center"/>
    </xf>
    <xf numFmtId="42" fontId="0" fillId="0" borderId="23" xfId="0" applyNumberFormat="1" applyBorder="1">
      <alignment vertical="center"/>
    </xf>
    <xf numFmtId="42" fontId="0" fillId="0" borderId="30" xfId="0" applyNumberFormat="1" applyBorder="1">
      <alignment vertical="center"/>
    </xf>
    <xf numFmtId="0" fontId="0" fillId="0" borderId="5" xfId="0" applyFont="1" applyBorder="1" applyAlignment="1">
      <alignment horizontal="center" vertical="center"/>
    </xf>
    <xf numFmtId="0" fontId="2" fillId="0" borderId="2" xfId="0" applyNumberFormat="1" applyFont="1" applyBorder="1" applyAlignment="1">
      <alignment horizontal="center" vertical="center"/>
    </xf>
    <xf numFmtId="9" fontId="2" fillId="0" borderId="2" xfId="0" applyNumberFormat="1" applyFont="1" applyBorder="1" applyAlignment="1">
      <alignment horizontal="center" vertical="center"/>
    </xf>
    <xf numFmtId="0" fontId="0" fillId="2" borderId="0" xfId="0" applyFill="1">
      <alignment vertical="center"/>
    </xf>
    <xf numFmtId="0" fontId="0" fillId="0" borderId="0" xfId="0" applyBorder="1">
      <alignment vertical="center"/>
    </xf>
    <xf numFmtId="0" fontId="0" fillId="0" borderId="36" xfId="0" applyBorder="1" applyAlignment="1">
      <alignment horizontal="center" vertical="center"/>
    </xf>
    <xf numFmtId="0" fontId="0" fillId="0" borderId="4" xfId="0" applyBorder="1">
      <alignment vertical="center"/>
    </xf>
    <xf numFmtId="0" fontId="0" fillId="0" borderId="37" xfId="0" applyBorder="1">
      <alignment vertical="center"/>
    </xf>
    <xf numFmtId="6" fontId="0" fillId="2" borderId="38" xfId="1" applyFont="1" applyFill="1" applyBorder="1">
      <alignment vertical="center"/>
    </xf>
    <xf numFmtId="0" fontId="0" fillId="0" borderId="5" xfId="0" applyBorder="1">
      <alignment vertical="center"/>
    </xf>
    <xf numFmtId="0" fontId="0" fillId="0" borderId="28" xfId="0" applyBorder="1">
      <alignment vertical="center"/>
    </xf>
    <xf numFmtId="0" fontId="0" fillId="0" borderId="31" xfId="0" applyBorder="1">
      <alignment vertical="center"/>
    </xf>
    <xf numFmtId="0" fontId="0" fillId="0" borderId="39" xfId="0" applyBorder="1">
      <alignment vertical="center"/>
    </xf>
    <xf numFmtId="6" fontId="0" fillId="0" borderId="32" xfId="0" applyNumberFormat="1" applyBorder="1">
      <alignment vertical="center"/>
    </xf>
    <xf numFmtId="0" fontId="0" fillId="0" borderId="30" xfId="0" applyBorder="1">
      <alignment vertical="center"/>
    </xf>
    <xf numFmtId="6" fontId="0" fillId="2" borderId="33" xfId="0" applyNumberFormat="1" applyFill="1" applyBorder="1">
      <alignment vertical="center"/>
    </xf>
    <xf numFmtId="0" fontId="0" fillId="0" borderId="36" xfId="0" applyBorder="1" applyAlignment="1">
      <alignment horizontal="left" vertical="center"/>
    </xf>
    <xf numFmtId="0" fontId="0" fillId="0" borderId="17" xfId="0" applyBorder="1" applyAlignment="1">
      <alignment horizontal="left" vertical="center"/>
    </xf>
    <xf numFmtId="6" fontId="0" fillId="0" borderId="38" xfId="1" applyFont="1" applyBorder="1">
      <alignment vertical="center"/>
    </xf>
    <xf numFmtId="6" fontId="0" fillId="0" borderId="33" xfId="0" applyNumberFormat="1" applyBorder="1">
      <alignment vertical="center"/>
    </xf>
    <xf numFmtId="0" fontId="0" fillId="0" borderId="0" xfId="0" applyFill="1" applyBorder="1" applyAlignment="1">
      <alignment horizontal="center" vertical="center"/>
    </xf>
    <xf numFmtId="6" fontId="0" fillId="0" borderId="0" xfId="1" applyFont="1" applyBorder="1">
      <alignment vertical="center"/>
    </xf>
    <xf numFmtId="0" fontId="0" fillId="0" borderId="0" xfId="0" applyFill="1">
      <alignment vertical="center"/>
    </xf>
    <xf numFmtId="42" fontId="0" fillId="0" borderId="9" xfId="0" applyNumberFormat="1" applyBorder="1">
      <alignment vertical="center"/>
    </xf>
    <xf numFmtId="42" fontId="0" fillId="0" borderId="12" xfId="0" applyNumberFormat="1" applyBorder="1">
      <alignment vertical="center"/>
    </xf>
    <xf numFmtId="42" fontId="0" fillId="0" borderId="15" xfId="0" applyNumberFormat="1" applyBorder="1">
      <alignment vertical="center"/>
    </xf>
    <xf numFmtId="0" fontId="0" fillId="0" borderId="1" xfId="0" applyFont="1" applyBorder="1" applyAlignment="1">
      <alignment horizontal="center" vertical="center"/>
    </xf>
    <xf numFmtId="0" fontId="0" fillId="0" borderId="16" xfId="0" applyBorder="1" applyAlignment="1">
      <alignment horizontal="center" vertical="center"/>
    </xf>
    <xf numFmtId="0" fontId="0" fillId="0" borderId="30" xfId="0" applyBorder="1" applyAlignment="1">
      <alignment horizontal="center" vertical="center"/>
    </xf>
    <xf numFmtId="6" fontId="0" fillId="0" borderId="30" xfId="1" applyFont="1" applyBorder="1">
      <alignment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42" fontId="0" fillId="2" borderId="1" xfId="0" applyNumberFormat="1" applyFill="1" applyBorder="1">
      <alignment vertical="center"/>
    </xf>
    <xf numFmtId="42" fontId="0" fillId="2" borderId="2" xfId="0" applyNumberFormat="1" applyFill="1" applyBorder="1">
      <alignment vertical="center"/>
    </xf>
    <xf numFmtId="0" fontId="0" fillId="0" borderId="43" xfId="0" applyBorder="1" applyAlignment="1">
      <alignment horizontal="center" vertical="center"/>
    </xf>
    <xf numFmtId="42" fontId="0" fillId="0" borderId="43" xfId="0" applyNumberFormat="1" applyBorder="1">
      <alignment vertical="center"/>
    </xf>
    <xf numFmtId="0" fontId="0" fillId="0" borderId="20" xfId="0" applyBorder="1" applyAlignment="1">
      <alignment horizontal="center" vertical="center"/>
    </xf>
    <xf numFmtId="0" fontId="0" fillId="0" borderId="44" xfId="0" applyBorder="1" applyAlignment="1">
      <alignment horizontal="center" vertical="center"/>
    </xf>
    <xf numFmtId="0" fontId="0" fillId="0" borderId="25" xfId="0" applyBorder="1" applyAlignment="1">
      <alignment horizontal="center" vertical="center"/>
    </xf>
    <xf numFmtId="42" fontId="0" fillId="0" borderId="45" xfId="0" applyNumberFormat="1" applyBorder="1">
      <alignment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20"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1" xfId="0" applyBorder="1" applyAlignment="1" applyProtection="1">
      <alignment horizontal="center" vertical="center"/>
      <protection locked="0"/>
    </xf>
    <xf numFmtId="0" fontId="0" fillId="2" borderId="43" xfId="0" applyFill="1" applyBorder="1" applyAlignment="1">
      <alignment horizontal="center" vertical="center"/>
    </xf>
    <xf numFmtId="0" fontId="0" fillId="2" borderId="18" xfId="0" applyFill="1" applyBorder="1" applyAlignment="1">
      <alignment horizontal="center" vertical="center"/>
    </xf>
    <xf numFmtId="42" fontId="0" fillId="2" borderId="43" xfId="0" applyNumberFormat="1" applyFill="1" applyBorder="1">
      <alignment vertical="center"/>
    </xf>
    <xf numFmtId="42" fontId="0" fillId="2" borderId="30" xfId="0" applyNumberFormat="1" applyFill="1" applyBorder="1">
      <alignment vertical="center"/>
    </xf>
    <xf numFmtId="6" fontId="0" fillId="0" borderId="38" xfId="1" applyFont="1" applyFill="1" applyBorder="1">
      <alignment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6" fillId="0" borderId="0" xfId="0" applyFont="1" applyProtection="1">
      <alignment vertical="center"/>
    </xf>
    <xf numFmtId="0" fontId="0" fillId="0" borderId="0" xfId="0" applyProtection="1">
      <alignment vertical="center"/>
    </xf>
    <xf numFmtId="0" fontId="0" fillId="0" borderId="0" xfId="0" applyFill="1" applyProtection="1">
      <alignment vertical="center"/>
    </xf>
  </cellXfs>
  <cellStyles count="3">
    <cellStyle name="パーセント" xfId="2" builtinId="5"/>
    <cellStyle name="通貨" xfId="1" builtinId="7"/>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A3ECAFF3-7C4B-4D3F-B3C0-DA75AFD4025D}">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年度別決算!$B$5</c:f>
              <c:strCache>
                <c:ptCount val="1"/>
                <c:pt idx="0">
                  <c:v> 収益 </c:v>
                </c:pt>
              </c:strCache>
            </c:strRef>
          </c:tx>
          <c:spPr>
            <a:solidFill>
              <a:schemeClr val="accent1"/>
            </a:solidFill>
            <a:ln>
              <a:noFill/>
            </a:ln>
            <a:effectLst/>
          </c:spPr>
          <c:invertIfNegative val="0"/>
          <c:cat>
            <c:strRef>
              <c:f>年度別決算!$A$6:$A$17</c:f>
              <c:strCache>
                <c:ptCount val="12"/>
                <c:pt idx="0">
                  <c:v> 4月</c:v>
                </c:pt>
                <c:pt idx="1">
                  <c:v> 5月</c:v>
                </c:pt>
                <c:pt idx="2">
                  <c:v> 6月</c:v>
                </c:pt>
                <c:pt idx="3">
                  <c:v> 7月</c:v>
                </c:pt>
                <c:pt idx="4">
                  <c:v> 8月</c:v>
                </c:pt>
                <c:pt idx="5">
                  <c:v> 9月</c:v>
                </c:pt>
                <c:pt idx="6">
                  <c:v> 10月</c:v>
                </c:pt>
                <c:pt idx="7">
                  <c:v> 11月</c:v>
                </c:pt>
                <c:pt idx="8">
                  <c:v> 12月</c:v>
                </c:pt>
                <c:pt idx="9">
                  <c:v> 1月</c:v>
                </c:pt>
                <c:pt idx="10">
                  <c:v> 2月</c:v>
                </c:pt>
                <c:pt idx="11">
                  <c:v> 3月</c:v>
                </c:pt>
              </c:strCache>
            </c:strRef>
          </c:cat>
          <c:val>
            <c:numRef>
              <c:f>年度別決算!$B$6:$B$17</c:f>
              <c:numCache>
                <c:formatCode>_("¥"* #,##0_);_("¥"* \(#,##0\);_("¥"* "-"_);_(@_)</c:formatCode>
                <c:ptCount val="12"/>
                <c:pt idx="0">
                  <c:v>403850</c:v>
                </c:pt>
              </c:numCache>
            </c:numRef>
          </c:val>
          <c:extLst>
            <c:ext xmlns:c16="http://schemas.microsoft.com/office/drawing/2014/chart" uri="{C3380CC4-5D6E-409C-BE32-E72D297353CC}">
              <c16:uniqueId val="{00000000-BE5F-4907-B9CB-3292B855418B}"/>
            </c:ext>
          </c:extLst>
        </c:ser>
        <c:ser>
          <c:idx val="1"/>
          <c:order val="1"/>
          <c:tx>
            <c:strRef>
              <c:f>年度別決算!$C$5</c:f>
              <c:strCache>
                <c:ptCount val="1"/>
                <c:pt idx="0">
                  <c:v> 損失 </c:v>
                </c:pt>
              </c:strCache>
            </c:strRef>
          </c:tx>
          <c:spPr>
            <a:solidFill>
              <a:schemeClr val="accent2"/>
            </a:solidFill>
            <a:ln>
              <a:noFill/>
            </a:ln>
            <a:effectLst/>
          </c:spPr>
          <c:invertIfNegative val="0"/>
          <c:cat>
            <c:strRef>
              <c:f>年度別決算!$A$6:$A$17</c:f>
              <c:strCache>
                <c:ptCount val="12"/>
                <c:pt idx="0">
                  <c:v> 4月</c:v>
                </c:pt>
                <c:pt idx="1">
                  <c:v> 5月</c:v>
                </c:pt>
                <c:pt idx="2">
                  <c:v> 6月</c:v>
                </c:pt>
                <c:pt idx="3">
                  <c:v> 7月</c:v>
                </c:pt>
                <c:pt idx="4">
                  <c:v> 8月</c:v>
                </c:pt>
                <c:pt idx="5">
                  <c:v> 9月</c:v>
                </c:pt>
                <c:pt idx="6">
                  <c:v> 10月</c:v>
                </c:pt>
                <c:pt idx="7">
                  <c:v> 11月</c:v>
                </c:pt>
                <c:pt idx="8">
                  <c:v> 12月</c:v>
                </c:pt>
                <c:pt idx="9">
                  <c:v> 1月</c:v>
                </c:pt>
                <c:pt idx="10">
                  <c:v> 2月</c:v>
                </c:pt>
                <c:pt idx="11">
                  <c:v> 3月</c:v>
                </c:pt>
              </c:strCache>
            </c:strRef>
          </c:cat>
          <c:val>
            <c:numRef>
              <c:f>年度別決算!$C$6:$C$17</c:f>
              <c:numCache>
                <c:formatCode>_("¥"* #,##0_);_("¥"* \(#,##0\);_("¥"* "-"_);_(@_)</c:formatCode>
                <c:ptCount val="12"/>
                <c:pt idx="0">
                  <c:v>170720</c:v>
                </c:pt>
              </c:numCache>
            </c:numRef>
          </c:val>
          <c:extLst>
            <c:ext xmlns:c16="http://schemas.microsoft.com/office/drawing/2014/chart" uri="{C3380CC4-5D6E-409C-BE32-E72D297353CC}">
              <c16:uniqueId val="{00000001-BE5F-4907-B9CB-3292B855418B}"/>
            </c:ext>
          </c:extLst>
        </c:ser>
        <c:dLbls>
          <c:showLegendKey val="0"/>
          <c:showVal val="0"/>
          <c:showCatName val="0"/>
          <c:showSerName val="0"/>
          <c:showPercent val="0"/>
          <c:showBubbleSize val="0"/>
        </c:dLbls>
        <c:gapWidth val="219"/>
        <c:overlap val="-27"/>
        <c:axId val="607598080"/>
        <c:axId val="607594800"/>
      </c:barChart>
      <c:catAx>
        <c:axId val="60759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07594800"/>
        <c:crosses val="autoZero"/>
        <c:auto val="1"/>
        <c:lblAlgn val="ctr"/>
        <c:lblOffset val="100"/>
        <c:noMultiLvlLbl val="0"/>
      </c:catAx>
      <c:valAx>
        <c:axId val="60759480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0759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657225</xdr:colOff>
          <xdr:row>2</xdr:row>
          <xdr:rowOff>219075</xdr:rowOff>
        </xdr:from>
        <xdr:to>
          <xdr:col>13</xdr:col>
          <xdr:colOff>123825</xdr:colOff>
          <xdr:row>6</xdr:row>
          <xdr:rowOff>57150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twoCellAnchor>
    <xdr:from>
      <xdr:col>0</xdr:col>
      <xdr:colOff>200025</xdr:colOff>
      <xdr:row>14</xdr:row>
      <xdr:rowOff>161924</xdr:rowOff>
    </xdr:from>
    <xdr:to>
      <xdr:col>5</xdr:col>
      <xdr:colOff>361950</xdr:colOff>
      <xdr:row>22</xdr:row>
      <xdr:rowOff>209549</xdr:rowOff>
    </xdr:to>
    <xdr:sp macro="" textlink="">
      <xdr:nvSpPr>
        <xdr:cNvPr id="2" name="吹き出し: 線 1">
          <a:extLst>
            <a:ext uri="{FF2B5EF4-FFF2-40B4-BE49-F238E27FC236}">
              <a16:creationId xmlns:a16="http://schemas.microsoft.com/office/drawing/2014/main" id="{00000000-0008-0000-0100-000002000000}"/>
            </a:ext>
          </a:extLst>
        </xdr:cNvPr>
        <xdr:cNvSpPr/>
      </xdr:nvSpPr>
      <xdr:spPr>
        <a:xfrm>
          <a:off x="200025" y="3514724"/>
          <a:ext cx="3914775" cy="1971675"/>
        </a:xfrm>
        <a:prstGeom prst="borderCallout1">
          <a:avLst>
            <a:gd name="adj1" fmla="val -4284"/>
            <a:gd name="adj2" fmla="val 42057"/>
            <a:gd name="adj3" fmla="val -48736"/>
            <a:gd name="adj4" fmla="val 38550"/>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仕訳帳</a:t>
          </a:r>
          <a:endParaRPr kumimoji="1" lang="en-US" altLang="ja-JP" sz="1100" b="1">
            <a:solidFill>
              <a:sysClr val="windowText" lastClr="000000"/>
            </a:solidFill>
          </a:endParaRPr>
        </a:p>
        <a:p>
          <a:pPr algn="l"/>
          <a:r>
            <a:rPr kumimoji="1" lang="ja-JP" altLang="en-US" sz="1100">
              <a:solidFill>
                <a:sysClr val="windowText" lastClr="000000"/>
              </a:solidFill>
            </a:rPr>
            <a:t>その日の仕分けをしていきます。</a:t>
          </a:r>
          <a:endParaRPr kumimoji="1" lang="en-US" altLang="ja-JP" sz="1100">
            <a:solidFill>
              <a:sysClr val="windowText" lastClr="000000"/>
            </a:solidFill>
          </a:endParaRPr>
        </a:p>
        <a:p>
          <a:pPr algn="l"/>
          <a:r>
            <a:rPr kumimoji="1" lang="en-US" altLang="ja-JP" sz="1100">
              <a:solidFill>
                <a:sysClr val="windowText" lastClr="000000"/>
              </a:solidFill>
            </a:rPr>
            <a:t>1</a:t>
          </a:r>
          <a:r>
            <a:rPr kumimoji="1" lang="ja-JP" altLang="en-US" sz="1100">
              <a:solidFill>
                <a:sysClr val="windowText" lastClr="000000"/>
              </a:solidFill>
            </a:rPr>
            <a:t>つの仕分けに勘定科目が</a:t>
          </a:r>
          <a:r>
            <a:rPr kumimoji="1" lang="en-US" altLang="ja-JP" sz="1100">
              <a:solidFill>
                <a:sysClr val="windowText" lastClr="000000"/>
              </a:solidFill>
            </a:rPr>
            <a:t>3</a:t>
          </a:r>
          <a:r>
            <a:rPr kumimoji="1" lang="ja-JP" altLang="en-US" sz="1100">
              <a:solidFill>
                <a:sysClr val="windowText" lastClr="000000"/>
              </a:solidFill>
            </a:rPr>
            <a:t>つ以上ある場合は、</a:t>
          </a:r>
          <a:endParaRPr kumimoji="1" lang="en-US" altLang="ja-JP" sz="1100">
            <a:solidFill>
              <a:sysClr val="windowText" lastClr="000000"/>
            </a:solidFill>
          </a:endParaRPr>
        </a:p>
        <a:p>
          <a:pPr algn="l"/>
          <a:r>
            <a:rPr kumimoji="1" lang="ja-JP" altLang="en-US" sz="1100">
              <a:solidFill>
                <a:sysClr val="windowText" lastClr="000000"/>
              </a:solidFill>
            </a:rPr>
            <a:t>複数行を使用して記載していきます。</a:t>
          </a:r>
          <a:endParaRPr kumimoji="1" lang="en-US" altLang="ja-JP" sz="1100">
            <a:solidFill>
              <a:sysClr val="windowText" lastClr="000000"/>
            </a:solidFill>
          </a:endParaRPr>
        </a:p>
        <a:p>
          <a:pPr algn="l"/>
          <a:r>
            <a:rPr kumimoji="1" lang="ja-JP" altLang="en-US" sz="1100">
              <a:solidFill>
                <a:sysClr val="windowText" lastClr="000000"/>
              </a:solidFill>
            </a:rPr>
            <a:t>借方</a:t>
          </a:r>
          <a:r>
            <a:rPr kumimoji="1" lang="en-US" altLang="ja-JP" sz="1100">
              <a:solidFill>
                <a:sysClr val="windowText" lastClr="000000"/>
              </a:solidFill>
            </a:rPr>
            <a:t>/</a:t>
          </a:r>
          <a:r>
            <a:rPr kumimoji="1" lang="ja-JP" altLang="en-US" sz="1100">
              <a:solidFill>
                <a:sysClr val="windowText" lastClr="000000"/>
              </a:solidFill>
            </a:rPr>
            <a:t>貸方それぞれ</a:t>
          </a:r>
          <a:r>
            <a:rPr kumimoji="1" lang="en-US" altLang="ja-JP" sz="1100">
              <a:solidFill>
                <a:sysClr val="windowText" lastClr="000000"/>
              </a:solidFill>
            </a:rPr>
            <a:t>1</a:t>
          </a:r>
          <a:r>
            <a:rPr kumimoji="1" lang="ja-JP" altLang="en-US" sz="1100">
              <a:solidFill>
                <a:sysClr val="windowText" lastClr="000000"/>
              </a:solidFill>
            </a:rPr>
            <a:t>つの勘定科目に分けることも可能です。</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取引があった日は、</a:t>
          </a:r>
          <a:r>
            <a:rPr kumimoji="1" lang="ja-JP" altLang="en-US" sz="1100" b="1" u="sng">
              <a:solidFill>
                <a:sysClr val="windowText" lastClr="000000"/>
              </a:solidFill>
            </a:rPr>
            <a:t>入力する必要があります</a:t>
          </a:r>
          <a:r>
            <a:rPr kumimoji="1" lang="ja-JP" altLang="en-US" sz="1100">
              <a:solidFill>
                <a:sysClr val="windowText" lastClr="000000"/>
              </a:solidFill>
            </a:rPr>
            <a:t>。</a:t>
          </a:r>
          <a:endParaRPr kumimoji="1" lang="en-US" altLang="ja-JP" sz="1100">
            <a:solidFill>
              <a:sysClr val="windowText" lastClr="000000"/>
            </a:solidFill>
          </a:endParaRPr>
        </a:p>
        <a:p>
          <a:pPr algn="l"/>
          <a:endParaRPr kumimoji="1" lang="ja-JP" altLang="en-US" sz="1100">
            <a:solidFill>
              <a:sysClr val="windowText" lastClr="000000"/>
            </a:solidFill>
          </a:endParaRPr>
        </a:p>
      </xdr:txBody>
    </xdr:sp>
    <xdr:clientData/>
  </xdr:twoCellAnchor>
  <xdr:twoCellAnchor>
    <xdr:from>
      <xdr:col>8</xdr:col>
      <xdr:colOff>704850</xdr:colOff>
      <xdr:row>10</xdr:row>
      <xdr:rowOff>104775</xdr:rowOff>
    </xdr:from>
    <xdr:to>
      <xdr:col>14</xdr:col>
      <xdr:colOff>276225</xdr:colOff>
      <xdr:row>19</xdr:row>
      <xdr:rowOff>19050</xdr:rowOff>
    </xdr:to>
    <xdr:sp macro="" textlink="">
      <xdr:nvSpPr>
        <xdr:cNvPr id="4" name="吹き出し: 線 3">
          <a:extLst>
            <a:ext uri="{FF2B5EF4-FFF2-40B4-BE49-F238E27FC236}">
              <a16:creationId xmlns:a16="http://schemas.microsoft.com/office/drawing/2014/main" id="{5032C979-BDF6-4779-AD56-1BB467F85074}"/>
            </a:ext>
          </a:extLst>
        </xdr:cNvPr>
        <xdr:cNvSpPr/>
      </xdr:nvSpPr>
      <xdr:spPr>
        <a:xfrm>
          <a:off x="7162800" y="2505075"/>
          <a:ext cx="4229100" cy="2057400"/>
        </a:xfrm>
        <a:prstGeom prst="borderCallout1">
          <a:avLst>
            <a:gd name="adj1" fmla="val 50772"/>
            <a:gd name="adj2" fmla="val -7335"/>
            <a:gd name="adj3" fmla="val 13062"/>
            <a:gd name="adj4" fmla="val -37119"/>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貸借対照表</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その月の仕訳帳に記載されている</a:t>
          </a:r>
          <a:endParaRPr kumimoji="1" lang="en-US" altLang="ja-JP" sz="1100">
            <a:solidFill>
              <a:sysClr val="windowText" lastClr="000000"/>
            </a:solidFill>
          </a:endParaRPr>
        </a:p>
        <a:p>
          <a:pPr algn="l"/>
          <a:r>
            <a:rPr kumimoji="1" lang="ja-JP" altLang="en-US" sz="1100">
              <a:solidFill>
                <a:sysClr val="windowText" lastClr="000000"/>
              </a:solidFill>
            </a:rPr>
            <a:t>借方・貸方それぞれで</a:t>
          </a:r>
          <a:endParaRPr kumimoji="1" lang="en-US" altLang="ja-JP" sz="1100">
            <a:solidFill>
              <a:sysClr val="windowText" lastClr="000000"/>
            </a:solidFill>
          </a:endParaRPr>
        </a:p>
        <a:p>
          <a:pPr algn="l"/>
          <a:r>
            <a:rPr kumimoji="1" lang="ja-JP" altLang="en-US" sz="1100">
              <a:solidFill>
                <a:sysClr val="windowText" lastClr="000000"/>
              </a:solidFill>
            </a:rPr>
            <a:t>各勘定科目の合計値が自動的に表示されます。</a:t>
          </a:r>
          <a:endParaRPr kumimoji="1" lang="en-US" altLang="ja-JP" sz="1100">
            <a:solidFill>
              <a:sysClr val="windowText" lastClr="000000"/>
            </a:solidFill>
          </a:endParaRPr>
        </a:p>
        <a:p>
          <a:pPr algn="l"/>
          <a:r>
            <a:rPr kumimoji="1" lang="ja-JP" altLang="en-US" sz="1100">
              <a:solidFill>
                <a:sysClr val="windowText" lastClr="000000"/>
              </a:solidFill>
            </a:rPr>
            <a:t>入力の必要はありません。</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この貸借対照表にない勘定科目は、合計値が算出されません。</a:t>
          </a:r>
          <a:endParaRPr kumimoji="1" lang="en-US" altLang="ja-JP" sz="1100">
            <a:solidFill>
              <a:sysClr val="windowText" lastClr="000000"/>
            </a:solidFill>
          </a:endParaRPr>
        </a:p>
      </xdr:txBody>
    </xdr:sp>
    <xdr:clientData/>
  </xdr:twoCellAnchor>
  <xdr:twoCellAnchor>
    <xdr:from>
      <xdr:col>9</xdr:col>
      <xdr:colOff>85724</xdr:colOff>
      <xdr:row>35</xdr:row>
      <xdr:rowOff>219074</xdr:rowOff>
    </xdr:from>
    <xdr:to>
      <xdr:col>15</xdr:col>
      <xdr:colOff>285749</xdr:colOff>
      <xdr:row>45</xdr:row>
      <xdr:rowOff>95250</xdr:rowOff>
    </xdr:to>
    <xdr:sp macro="" textlink="">
      <xdr:nvSpPr>
        <xdr:cNvPr id="5" name="吹き出し: 線 4">
          <a:extLst>
            <a:ext uri="{FF2B5EF4-FFF2-40B4-BE49-F238E27FC236}">
              <a16:creationId xmlns:a16="http://schemas.microsoft.com/office/drawing/2014/main" id="{08E5433A-2DAC-44A1-9803-5CEF3E600982}"/>
            </a:ext>
          </a:extLst>
        </xdr:cNvPr>
        <xdr:cNvSpPr/>
      </xdr:nvSpPr>
      <xdr:spPr>
        <a:xfrm>
          <a:off x="7315199" y="8620124"/>
          <a:ext cx="4772025" cy="2257426"/>
        </a:xfrm>
        <a:prstGeom prst="borderCallout1">
          <a:avLst>
            <a:gd name="adj1" fmla="val 50772"/>
            <a:gd name="adj2" fmla="val -7335"/>
            <a:gd name="adj3" fmla="val 13062"/>
            <a:gd name="adj4" fmla="val -37119"/>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損益計算書</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その月の貸借対照表に記載されている</a:t>
          </a:r>
          <a:endParaRPr kumimoji="1" lang="en-US" altLang="ja-JP" sz="1100">
            <a:solidFill>
              <a:sysClr val="windowText" lastClr="000000"/>
            </a:solidFill>
          </a:endParaRPr>
        </a:p>
        <a:p>
          <a:pPr algn="l"/>
          <a:r>
            <a:rPr kumimoji="1" lang="ja-JP" altLang="en-US" sz="1100">
              <a:solidFill>
                <a:sysClr val="windowText" lastClr="000000"/>
              </a:solidFill>
            </a:rPr>
            <a:t>費用・収入それぞれで各勘定科目の合計値が表示され、</a:t>
          </a:r>
          <a:endParaRPr kumimoji="1" lang="en-US" altLang="ja-JP" sz="1100">
            <a:solidFill>
              <a:sysClr val="windowText" lastClr="000000"/>
            </a:solidFill>
          </a:endParaRPr>
        </a:p>
        <a:p>
          <a:pPr algn="l"/>
          <a:r>
            <a:rPr kumimoji="1" lang="ja-JP" altLang="en-US" sz="1100">
              <a:solidFill>
                <a:sysClr val="windowText" lastClr="000000"/>
              </a:solidFill>
            </a:rPr>
            <a:t>費用の勘定科目の合計値と収入の勘定科目の合計値が表示されます。</a:t>
          </a:r>
          <a:endParaRPr kumimoji="1" lang="en-US" altLang="ja-JP" sz="1100">
            <a:solidFill>
              <a:sysClr val="windowText" lastClr="000000"/>
            </a:solidFill>
          </a:endParaRPr>
        </a:p>
        <a:p>
          <a:pPr algn="l"/>
          <a:r>
            <a:rPr kumimoji="1" lang="ja-JP" altLang="en-US" sz="1100">
              <a:solidFill>
                <a:sysClr val="windowText" lastClr="000000"/>
              </a:solidFill>
            </a:rPr>
            <a:t>また、純利益</a:t>
          </a:r>
          <a:r>
            <a:rPr kumimoji="1" lang="en-US" altLang="ja-JP" sz="1100">
              <a:solidFill>
                <a:sysClr val="windowText" lastClr="000000"/>
              </a:solidFill>
            </a:rPr>
            <a:t>/</a:t>
          </a:r>
          <a:r>
            <a:rPr kumimoji="1" lang="ja-JP" altLang="en-US" sz="1100">
              <a:solidFill>
                <a:sysClr val="windowText" lastClr="000000"/>
              </a:solidFill>
            </a:rPr>
            <a:t>損失額を表示します。</a:t>
          </a:r>
          <a:endParaRPr kumimoji="1" lang="en-US" altLang="ja-JP" sz="1100">
            <a:solidFill>
              <a:sysClr val="windowText" lastClr="000000"/>
            </a:solidFill>
          </a:endParaRPr>
        </a:p>
        <a:p>
          <a:pPr algn="l"/>
          <a:r>
            <a:rPr kumimoji="1" lang="ja-JP" altLang="en-US" sz="1100">
              <a:solidFill>
                <a:sysClr val="windowText" lastClr="000000"/>
              </a:solidFill>
            </a:rPr>
            <a:t>入力の必要はありません。</a:t>
          </a:r>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この損益計算書にない勘定科目は、合計値が算出されません。</a:t>
          </a:r>
          <a:endParaRPr kumimoji="1" lang="en-US" altLang="ja-JP" sz="1100">
            <a:solidFill>
              <a:sysClr val="windowText" lastClr="000000"/>
            </a:solidFill>
          </a:endParaRPr>
        </a:p>
      </xdr:txBody>
    </xdr:sp>
    <xdr:clientData/>
  </xdr:twoCellAnchor>
  <xdr:twoCellAnchor>
    <xdr:from>
      <xdr:col>15</xdr:col>
      <xdr:colOff>571500</xdr:colOff>
      <xdr:row>25</xdr:row>
      <xdr:rowOff>114300</xdr:rowOff>
    </xdr:from>
    <xdr:to>
      <xdr:col>22</xdr:col>
      <xdr:colOff>0</xdr:colOff>
      <xdr:row>33</xdr:row>
      <xdr:rowOff>114300</xdr:rowOff>
    </xdr:to>
    <xdr:sp macro="" textlink="">
      <xdr:nvSpPr>
        <xdr:cNvPr id="6" name="吹き出し: 線 5">
          <a:extLst>
            <a:ext uri="{FF2B5EF4-FFF2-40B4-BE49-F238E27FC236}">
              <a16:creationId xmlns:a16="http://schemas.microsoft.com/office/drawing/2014/main" id="{A3202402-4E3C-4576-AAEE-7950138CDB2F}"/>
            </a:ext>
          </a:extLst>
        </xdr:cNvPr>
        <xdr:cNvSpPr/>
      </xdr:nvSpPr>
      <xdr:spPr>
        <a:xfrm>
          <a:off x="12372975" y="6115050"/>
          <a:ext cx="4229100" cy="1924050"/>
        </a:xfrm>
        <a:prstGeom prst="borderCallout1">
          <a:avLst>
            <a:gd name="adj1" fmla="val 50772"/>
            <a:gd name="adj2" fmla="val -7335"/>
            <a:gd name="adj3" fmla="val 13062"/>
            <a:gd name="adj4" fmla="val -37119"/>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資産計算表</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前月の資産額および貸借対照表をもとに、</a:t>
          </a:r>
          <a:endParaRPr kumimoji="1" lang="en-US" altLang="ja-JP" sz="1100">
            <a:solidFill>
              <a:sysClr val="windowText" lastClr="000000"/>
            </a:solidFill>
          </a:endParaRPr>
        </a:p>
        <a:p>
          <a:pPr algn="l"/>
          <a:r>
            <a:rPr kumimoji="1" lang="ja-JP" altLang="en-US" sz="1100">
              <a:solidFill>
                <a:sysClr val="windowText" lastClr="000000"/>
              </a:solidFill>
            </a:rPr>
            <a:t>当座預金、現金それぞれの残高が表示されます</a:t>
          </a:r>
          <a:endParaRPr kumimoji="1" lang="en-US" altLang="ja-JP" sz="1100">
            <a:solidFill>
              <a:sysClr val="windowText" lastClr="000000"/>
            </a:solidFill>
          </a:endParaRPr>
        </a:p>
        <a:p>
          <a:pPr algn="l"/>
          <a:r>
            <a:rPr kumimoji="1" lang="en-US" altLang="ja-JP" sz="1100">
              <a:solidFill>
                <a:sysClr val="windowText" lastClr="000000"/>
              </a:solidFill>
            </a:rPr>
            <a:t>※4</a:t>
          </a:r>
          <a:r>
            <a:rPr kumimoji="1" lang="ja-JP" altLang="en-US" sz="1100">
              <a:solidFill>
                <a:sysClr val="windowText" lastClr="000000"/>
              </a:solidFill>
            </a:rPr>
            <a:t>月に限り、</a:t>
          </a:r>
          <a:endParaRPr kumimoji="1" lang="en-US" altLang="ja-JP" sz="1100">
            <a:solidFill>
              <a:sysClr val="windowText" lastClr="000000"/>
            </a:solidFill>
          </a:endParaRPr>
        </a:p>
        <a:p>
          <a:pPr algn="l"/>
          <a:r>
            <a:rPr kumimoji="1" lang="ja-JP" altLang="en-US" sz="1100">
              <a:solidFill>
                <a:sysClr val="windowText" lastClr="000000"/>
              </a:solidFill>
            </a:rPr>
            <a:t>　前月当座預金と前月現金の金額を</a:t>
          </a:r>
          <a:r>
            <a:rPr kumimoji="1" lang="ja-JP" altLang="en-US" sz="1100" b="1" u="sng">
              <a:solidFill>
                <a:sysClr val="windowText" lastClr="000000"/>
              </a:solidFill>
            </a:rPr>
            <a:t>入力する必要があります</a:t>
          </a:r>
          <a:r>
            <a:rPr kumimoji="1" lang="ja-JP" altLang="en-US" sz="1100">
              <a:solidFill>
                <a:sysClr val="windowText" lastClr="000000"/>
              </a:solidFill>
            </a:rPr>
            <a:t>。</a:t>
          </a:r>
          <a:endParaRPr kumimoji="1" lang="en-US" altLang="ja-JP" sz="1100">
            <a:solidFill>
              <a:sysClr val="windowText" lastClr="000000"/>
            </a:solidFill>
          </a:endParaRPr>
        </a:p>
      </xdr:txBody>
    </xdr:sp>
    <xdr:clientData/>
  </xdr:twoCellAnchor>
  <xdr:twoCellAnchor>
    <xdr:from>
      <xdr:col>15</xdr:col>
      <xdr:colOff>38100</xdr:colOff>
      <xdr:row>3</xdr:row>
      <xdr:rowOff>76200</xdr:rowOff>
    </xdr:from>
    <xdr:to>
      <xdr:col>21</xdr:col>
      <xdr:colOff>152400</xdr:colOff>
      <xdr:row>10</xdr:row>
      <xdr:rowOff>104775</xdr:rowOff>
    </xdr:to>
    <xdr:sp macro="" textlink="">
      <xdr:nvSpPr>
        <xdr:cNvPr id="7" name="吹き出し: 線 6">
          <a:extLst>
            <a:ext uri="{FF2B5EF4-FFF2-40B4-BE49-F238E27FC236}">
              <a16:creationId xmlns:a16="http://schemas.microsoft.com/office/drawing/2014/main" id="{84DFFA9E-1374-4675-8B12-FFFBF0B36395}"/>
            </a:ext>
          </a:extLst>
        </xdr:cNvPr>
        <xdr:cNvSpPr/>
      </xdr:nvSpPr>
      <xdr:spPr>
        <a:xfrm>
          <a:off x="11839575" y="809625"/>
          <a:ext cx="4229100" cy="1695450"/>
        </a:xfrm>
        <a:prstGeom prst="borderCallout1">
          <a:avLst>
            <a:gd name="adj1" fmla="val 50772"/>
            <a:gd name="adj2" fmla="val -7335"/>
            <a:gd name="adj3" fmla="val 13062"/>
            <a:gd name="adj4" fmla="val -37119"/>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「年度別決済表への転記」ボタン</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損益計算書をもとに、</a:t>
          </a:r>
          <a:endParaRPr kumimoji="1" lang="en-US" altLang="ja-JP" sz="1100">
            <a:solidFill>
              <a:sysClr val="windowText" lastClr="000000"/>
            </a:solidFill>
          </a:endParaRPr>
        </a:p>
        <a:p>
          <a:pPr algn="l"/>
          <a:r>
            <a:rPr kumimoji="1" lang="ja-JP" altLang="en-US" sz="1100">
              <a:solidFill>
                <a:sysClr val="windowText" lastClr="000000"/>
              </a:solidFill>
            </a:rPr>
            <a:t>「年度別決済表」シートの該当月に各値を転記します。</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月末にボタンを押下して、転記して下さい。</a:t>
          </a:r>
          <a:endParaRPr kumimoji="1" lang="en-US" altLang="ja-JP"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542925</xdr:colOff>
          <xdr:row>2</xdr:row>
          <xdr:rowOff>171450</xdr:rowOff>
        </xdr:from>
        <xdr:to>
          <xdr:col>13</xdr:col>
          <xdr:colOff>390525</xdr:colOff>
          <xdr:row>6</xdr:row>
          <xdr:rowOff>57150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2</xdr:row>
          <xdr:rowOff>104775</xdr:rowOff>
        </xdr:from>
        <xdr:to>
          <xdr:col>13</xdr:col>
          <xdr:colOff>628650</xdr:colOff>
          <xdr:row>5</xdr:row>
          <xdr:rowOff>66675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104775</xdr:colOff>
          <xdr:row>3</xdr:row>
          <xdr:rowOff>200025</xdr:rowOff>
        </xdr:from>
        <xdr:to>
          <xdr:col>13</xdr:col>
          <xdr:colOff>752475</xdr:colOff>
          <xdr:row>7</xdr:row>
          <xdr:rowOff>209550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590550</xdr:colOff>
          <xdr:row>2</xdr:row>
          <xdr:rowOff>38100</xdr:rowOff>
        </xdr:from>
        <xdr:to>
          <xdr:col>14</xdr:col>
          <xdr:colOff>295275</xdr:colOff>
          <xdr:row>7</xdr:row>
          <xdr:rowOff>161925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419100</xdr:colOff>
          <xdr:row>3</xdr:row>
          <xdr:rowOff>0</xdr:rowOff>
        </xdr:from>
        <xdr:to>
          <xdr:col>13</xdr:col>
          <xdr:colOff>552450</xdr:colOff>
          <xdr:row>6</xdr:row>
          <xdr:rowOff>219075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66675</xdr:colOff>
          <xdr:row>3</xdr:row>
          <xdr:rowOff>85725</xdr:rowOff>
        </xdr:from>
        <xdr:to>
          <xdr:col>13</xdr:col>
          <xdr:colOff>600075</xdr:colOff>
          <xdr:row>6</xdr:row>
          <xdr:rowOff>142875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504825</xdr:colOff>
          <xdr:row>3</xdr:row>
          <xdr:rowOff>19050</xdr:rowOff>
        </xdr:from>
        <xdr:to>
          <xdr:col>13</xdr:col>
          <xdr:colOff>466725</xdr:colOff>
          <xdr:row>6</xdr:row>
          <xdr:rowOff>200025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638175</xdr:colOff>
          <xdr:row>1</xdr:row>
          <xdr:rowOff>161925</xdr:rowOff>
        </xdr:from>
        <xdr:to>
          <xdr:col>13</xdr:col>
          <xdr:colOff>666750</xdr:colOff>
          <xdr:row>5</xdr:row>
          <xdr:rowOff>85725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95250</xdr:colOff>
          <xdr:row>1</xdr:row>
          <xdr:rowOff>209550</xdr:rowOff>
        </xdr:from>
        <xdr:to>
          <xdr:col>13</xdr:col>
          <xdr:colOff>523875</xdr:colOff>
          <xdr:row>5</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4E271B82-E4A4-4A41-A130-09002962C52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666750</xdr:colOff>
          <xdr:row>1</xdr:row>
          <xdr:rowOff>200025</xdr:rowOff>
        </xdr:from>
        <xdr:to>
          <xdr:col>13</xdr:col>
          <xdr:colOff>409575</xdr:colOff>
          <xdr:row>5</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1</xdr:row>
          <xdr:rowOff>209550</xdr:rowOff>
        </xdr:from>
        <xdr:to>
          <xdr:col>13</xdr:col>
          <xdr:colOff>19050</xdr:colOff>
          <xdr:row>4</xdr:row>
          <xdr:rowOff>76200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年度別決算表への転記</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323850</xdr:colOff>
          <xdr:row>18</xdr:row>
          <xdr:rowOff>85724</xdr:rowOff>
        </xdr:from>
        <xdr:to>
          <xdr:col>7</xdr:col>
          <xdr:colOff>161925</xdr:colOff>
          <xdr:row>20</xdr:row>
          <xdr:rowOff>57149</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D00-000001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次年度の表を作成</a:t>
              </a:r>
            </a:p>
          </xdr:txBody>
        </xdr:sp>
        <xdr:clientData fPrintsWithSheet="0"/>
      </xdr:twoCellAnchor>
    </mc:Choice>
    <mc:Fallback/>
  </mc:AlternateContent>
  <xdr:twoCellAnchor>
    <xdr:from>
      <xdr:col>15</xdr:col>
      <xdr:colOff>28575</xdr:colOff>
      <xdr:row>4</xdr:row>
      <xdr:rowOff>19050</xdr:rowOff>
    </xdr:from>
    <xdr:to>
      <xdr:col>22</xdr:col>
      <xdr:colOff>490537</xdr:colOff>
      <xdr:row>17</xdr:row>
      <xdr:rowOff>214312</xdr:rowOff>
    </xdr:to>
    <xdr:graphicFrame macro="">
      <xdr:nvGraphicFramePr>
        <xdr:cNvPr id="12" name=" 2020年度のグラフ">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619125</xdr:colOff>
      <xdr:row>9</xdr:row>
      <xdr:rowOff>95250</xdr:rowOff>
    </xdr:from>
    <xdr:to>
      <xdr:col>13</xdr:col>
      <xdr:colOff>19050</xdr:colOff>
      <xdr:row>16</xdr:row>
      <xdr:rowOff>123825</xdr:rowOff>
    </xdr:to>
    <xdr:sp macro="" textlink="">
      <xdr:nvSpPr>
        <xdr:cNvPr id="4" name="吹き出し: 線 3">
          <a:extLst>
            <a:ext uri="{FF2B5EF4-FFF2-40B4-BE49-F238E27FC236}">
              <a16:creationId xmlns:a16="http://schemas.microsoft.com/office/drawing/2014/main" id="{16F340BF-F743-431C-A750-0CCBB4771065}"/>
            </a:ext>
          </a:extLst>
        </xdr:cNvPr>
        <xdr:cNvSpPr/>
      </xdr:nvSpPr>
      <xdr:spPr>
        <a:xfrm>
          <a:off x="6953250" y="2247900"/>
          <a:ext cx="3914775" cy="1695450"/>
        </a:xfrm>
        <a:prstGeom prst="borderCallout1">
          <a:avLst>
            <a:gd name="adj1" fmla="val -4284"/>
            <a:gd name="adj2" fmla="val 42057"/>
            <a:gd name="adj3" fmla="val -59972"/>
            <a:gd name="adj4" fmla="val -35659"/>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年度別決算表</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各月のシートにある「年度別決済表への転記」ボタン</a:t>
          </a:r>
        </a:p>
        <a:p>
          <a:pPr algn="l"/>
          <a:r>
            <a:rPr kumimoji="1" lang="ja-JP" altLang="en-US" sz="1100">
              <a:solidFill>
                <a:sysClr val="windowText" lastClr="000000"/>
              </a:solidFill>
            </a:rPr>
            <a:t>によって、該当月の各項目が転記されます。</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入力する必要はありません。</a:t>
          </a:r>
          <a:endParaRPr kumimoji="1" lang="en-US" altLang="ja-JP" sz="1100">
            <a:solidFill>
              <a:sysClr val="windowText" lastClr="000000"/>
            </a:solidFill>
          </a:endParaRPr>
        </a:p>
        <a:p>
          <a:pPr algn="l"/>
          <a:endParaRPr kumimoji="1" lang="ja-JP" altLang="en-US" sz="1100">
            <a:solidFill>
              <a:sysClr val="windowText" lastClr="000000"/>
            </a:solidFill>
          </a:endParaRPr>
        </a:p>
      </xdr:txBody>
    </xdr:sp>
    <xdr:clientData/>
  </xdr:twoCellAnchor>
  <xdr:twoCellAnchor>
    <xdr:from>
      <xdr:col>6</xdr:col>
      <xdr:colOff>47626</xdr:colOff>
      <xdr:row>21</xdr:row>
      <xdr:rowOff>104774</xdr:rowOff>
    </xdr:from>
    <xdr:to>
      <xdr:col>14</xdr:col>
      <xdr:colOff>0</xdr:colOff>
      <xdr:row>32</xdr:row>
      <xdr:rowOff>85724</xdr:rowOff>
    </xdr:to>
    <xdr:sp macro="" textlink="">
      <xdr:nvSpPr>
        <xdr:cNvPr id="8" name="吹き出し: 線 7">
          <a:extLst>
            <a:ext uri="{FF2B5EF4-FFF2-40B4-BE49-F238E27FC236}">
              <a16:creationId xmlns:a16="http://schemas.microsoft.com/office/drawing/2014/main" id="{E81E3005-C049-4073-B0F8-BFDFB2D10580}"/>
            </a:ext>
          </a:extLst>
        </xdr:cNvPr>
        <xdr:cNvSpPr/>
      </xdr:nvSpPr>
      <xdr:spPr>
        <a:xfrm>
          <a:off x="4819651" y="5114924"/>
          <a:ext cx="6715124" cy="2600325"/>
        </a:xfrm>
        <a:prstGeom prst="borderCallout1">
          <a:avLst>
            <a:gd name="adj1" fmla="val -7655"/>
            <a:gd name="adj2" fmla="val 37191"/>
            <a:gd name="adj3" fmla="val -22223"/>
            <a:gd name="adj4" fmla="val 12361"/>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「次年度の表を作成」ボタン</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次年度の決算表を作成します。</a:t>
          </a:r>
          <a:endParaRPr kumimoji="1" lang="en-US" altLang="ja-JP" sz="1100">
            <a:solidFill>
              <a:sysClr val="windowText" lastClr="000000"/>
            </a:solidFill>
          </a:endParaRPr>
        </a:p>
        <a:p>
          <a:pPr algn="l"/>
          <a:r>
            <a:rPr kumimoji="1" lang="ja-JP" altLang="en-US" sz="1100">
              <a:solidFill>
                <a:sysClr val="windowText" lastClr="000000"/>
              </a:solidFill>
            </a:rPr>
            <a:t>決算表とグラフを作成します。</a:t>
          </a:r>
          <a:endParaRPr kumimoji="1" lang="en-US" altLang="ja-JP" sz="1100">
            <a:solidFill>
              <a:sysClr val="windowText" lastClr="000000"/>
            </a:solidFill>
          </a:endParaRPr>
        </a:p>
        <a:p>
          <a:pPr algn="l"/>
          <a:r>
            <a:rPr kumimoji="1" lang="ja-JP" altLang="en-US" sz="1100">
              <a:solidFill>
                <a:sysClr val="windowText" lastClr="000000"/>
              </a:solidFill>
            </a:rPr>
            <a:t>年度末月の月末にボタンを押下して下さい。</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決算表作成のため、</a:t>
          </a:r>
          <a:endParaRPr kumimoji="1" lang="en-US" altLang="ja-JP" sz="1100">
            <a:solidFill>
              <a:sysClr val="windowText" lastClr="000000"/>
            </a:solidFill>
          </a:endParaRPr>
        </a:p>
        <a:p>
          <a:pPr algn="l"/>
          <a:r>
            <a:rPr kumimoji="1" lang="ja-JP" altLang="en-US" sz="1100">
              <a:solidFill>
                <a:sysClr val="windowText" lastClr="000000"/>
              </a:solidFill>
            </a:rPr>
            <a:t>　</a:t>
          </a:r>
          <a:r>
            <a:rPr kumimoji="1" lang="en-US" altLang="ja-JP" sz="1100">
              <a:solidFill>
                <a:sysClr val="windowText" lastClr="000000"/>
              </a:solidFill>
            </a:rPr>
            <a:t>A</a:t>
          </a:r>
          <a:r>
            <a:rPr kumimoji="1" lang="ja-JP" altLang="en-US" sz="1100">
              <a:solidFill>
                <a:sysClr val="windowText" lastClr="000000"/>
              </a:solidFill>
            </a:rPr>
            <a:t>列において、各年度の決算表の「当期決算」の</a:t>
          </a:r>
          <a:r>
            <a:rPr kumimoji="1" lang="en-US" altLang="ja-JP" sz="1100">
              <a:solidFill>
                <a:sysClr val="windowText" lastClr="000000"/>
              </a:solidFill>
            </a:rPr>
            <a:t>1</a:t>
          </a:r>
          <a:r>
            <a:rPr kumimoji="1" lang="ja-JP" altLang="en-US" sz="1100">
              <a:solidFill>
                <a:sysClr val="windowText" lastClr="000000"/>
              </a:solidFill>
            </a:rPr>
            <a:t>つ下のセルには、　空白文字が入力されています。</a:t>
          </a:r>
          <a:endParaRPr kumimoji="1" lang="en-US" altLang="ja-JP" sz="1100">
            <a:solidFill>
              <a:sysClr val="windowText" lastClr="000000"/>
            </a:solidFill>
          </a:endParaRPr>
        </a:p>
        <a:p>
          <a:pPr algn="l"/>
          <a:r>
            <a:rPr kumimoji="1" lang="ja-JP" altLang="en-US" sz="1100">
              <a:solidFill>
                <a:sysClr val="windowText" lastClr="000000"/>
              </a:solidFill>
            </a:rPr>
            <a:t>　致命的な問題はありませんが、</a:t>
          </a:r>
          <a:endParaRPr kumimoji="1" lang="en-US" altLang="ja-JP" sz="1100">
            <a:solidFill>
              <a:sysClr val="windowText" lastClr="000000"/>
            </a:solidFill>
          </a:endParaRPr>
        </a:p>
        <a:p>
          <a:pPr algn="l"/>
          <a:r>
            <a:rPr kumimoji="1" lang="ja-JP" altLang="en-US" sz="1100">
              <a:solidFill>
                <a:sysClr val="windowText" lastClr="000000"/>
              </a:solidFill>
            </a:rPr>
            <a:t>　</a:t>
          </a:r>
          <a:r>
            <a:rPr kumimoji="1" lang="ja-JP" altLang="en-US" sz="1100" b="1" u="sng">
              <a:solidFill>
                <a:sysClr val="windowText" lastClr="000000"/>
              </a:solidFill>
            </a:rPr>
            <a:t>誤って当セルが入力されていない状態にすると、表作成の位置がずれるため注意してください</a:t>
          </a:r>
          <a:r>
            <a:rPr kumimoji="1" lang="ja-JP" altLang="en-US" sz="1100">
              <a:solidFill>
                <a:sysClr val="windowText" lastClr="000000"/>
              </a:solidFill>
            </a:rPr>
            <a:t>。</a:t>
          </a:r>
        </a:p>
      </xdr:txBody>
    </xdr:sp>
    <xdr:clientData/>
  </xdr:twoCellAnchor>
  <xdr:twoCellAnchor>
    <xdr:from>
      <xdr:col>15</xdr:col>
      <xdr:colOff>361950</xdr:colOff>
      <xdr:row>19</xdr:row>
      <xdr:rowOff>114300</xdr:rowOff>
    </xdr:from>
    <xdr:to>
      <xdr:col>22</xdr:col>
      <xdr:colOff>66675</xdr:colOff>
      <xdr:row>24</xdr:row>
      <xdr:rowOff>228600</xdr:rowOff>
    </xdr:to>
    <xdr:sp macro="" textlink="">
      <xdr:nvSpPr>
        <xdr:cNvPr id="9" name="吹き出し: 線 8">
          <a:extLst>
            <a:ext uri="{FF2B5EF4-FFF2-40B4-BE49-F238E27FC236}">
              <a16:creationId xmlns:a16="http://schemas.microsoft.com/office/drawing/2014/main" id="{95422221-82B9-4756-B209-77722FABF43F}"/>
            </a:ext>
          </a:extLst>
        </xdr:cNvPr>
        <xdr:cNvSpPr/>
      </xdr:nvSpPr>
      <xdr:spPr>
        <a:xfrm>
          <a:off x="12544425" y="4648200"/>
          <a:ext cx="4371975" cy="1304925"/>
        </a:xfrm>
        <a:prstGeom prst="borderCallout1">
          <a:avLst>
            <a:gd name="adj1" fmla="val -7093"/>
            <a:gd name="adj2" fmla="val 11643"/>
            <a:gd name="adj3" fmla="val -107175"/>
            <a:gd name="adj4" fmla="val 35108"/>
          </a:avLst>
        </a:prstGeom>
        <a:solidFill>
          <a:schemeClr val="accent1">
            <a:lumMod val="20000"/>
            <a:lumOff val="80000"/>
          </a:schemeClr>
        </a:solidFill>
        <a:ln w="571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年度別決算グラフ</a:t>
          </a:r>
          <a:endParaRPr kumimoji="1" lang="en-US" altLang="ja-JP" sz="1100" b="1">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自動的に、年度別決算表の収入</a:t>
          </a:r>
          <a:r>
            <a:rPr kumimoji="1" lang="en-US" altLang="ja-JP" sz="1100">
              <a:solidFill>
                <a:sysClr val="windowText" lastClr="000000"/>
              </a:solidFill>
            </a:rPr>
            <a:t>/</a:t>
          </a:r>
          <a:r>
            <a:rPr kumimoji="1" lang="ja-JP" altLang="en-US" sz="1100">
              <a:solidFill>
                <a:sysClr val="windowText" lastClr="000000"/>
              </a:solidFill>
            </a:rPr>
            <a:t>損失額がグラフに反映されます。</a:t>
          </a:r>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必要に応じてグラフタイトルを編集してください。</a:t>
          </a:r>
          <a:endParaRPr kumimoji="1" lang="en-US" altLang="ja-JP" sz="1100">
            <a:solidFill>
              <a:sysClr val="windowText" lastClr="000000"/>
            </a:solidFill>
          </a:endParaRPr>
        </a:p>
        <a:p>
          <a:pPr algn="l"/>
          <a:endParaRPr kumimoji="1" lang="ja-JP" altLang="en-US" sz="1100">
            <a:solidFill>
              <a:sysClr val="windowText" lastClr="00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1CC69-B1E3-49C0-A34A-CA55309B6468}">
  <dimension ref="A1:C30"/>
  <sheetViews>
    <sheetView tabSelected="1" workbookViewId="0">
      <selection activeCell="F4" sqref="F4"/>
    </sheetView>
  </sheetViews>
  <sheetFormatPr defaultRowHeight="18.75"/>
  <cols>
    <col min="1" max="16384" width="9" style="131"/>
  </cols>
  <sheetData>
    <row r="1" spans="1:3" ht="30">
      <c r="A1" s="130" t="s">
        <v>77</v>
      </c>
    </row>
    <row r="5" spans="1:3">
      <c r="A5" s="131" t="s">
        <v>78</v>
      </c>
    </row>
    <row r="6" spans="1:3">
      <c r="B6" s="131" t="s">
        <v>79</v>
      </c>
    </row>
    <row r="7" spans="1:3">
      <c r="B7" s="131" t="s">
        <v>80</v>
      </c>
    </row>
    <row r="9" spans="1:3">
      <c r="A9" s="131" t="s">
        <v>83</v>
      </c>
    </row>
    <row r="10" spans="1:3">
      <c r="B10" s="131" t="s">
        <v>84</v>
      </c>
    </row>
    <row r="11" spans="1:3">
      <c r="B11" s="131" t="s">
        <v>85</v>
      </c>
    </row>
    <row r="12" spans="1:3">
      <c r="B12" s="131" t="s">
        <v>86</v>
      </c>
    </row>
    <row r="14" spans="1:3">
      <c r="A14" s="131" t="s">
        <v>81</v>
      </c>
    </row>
    <row r="15" spans="1:3">
      <c r="B15" s="131" t="s">
        <v>82</v>
      </c>
    </row>
    <row r="16" spans="1:3">
      <c r="C16" s="131" t="s">
        <v>92</v>
      </c>
    </row>
    <row r="17" spans="1:3">
      <c r="C17" s="131" t="s">
        <v>97</v>
      </c>
    </row>
    <row r="19" spans="1:3">
      <c r="B19" s="131" t="s">
        <v>94</v>
      </c>
    </row>
    <row r="20" spans="1:3">
      <c r="C20" s="131" t="s">
        <v>95</v>
      </c>
    </row>
    <row r="21" spans="1:3">
      <c r="C21" s="131" t="s">
        <v>96</v>
      </c>
    </row>
    <row r="23" spans="1:3">
      <c r="A23" s="131" t="s">
        <v>98</v>
      </c>
    </row>
    <row r="24" spans="1:3">
      <c r="B24" s="131" t="s">
        <v>100</v>
      </c>
    </row>
    <row r="25" spans="1:3">
      <c r="B25" s="131" t="s">
        <v>99</v>
      </c>
    </row>
    <row r="27" spans="1:3">
      <c r="A27" s="131" t="s">
        <v>101</v>
      </c>
    </row>
    <row r="28" spans="1:3">
      <c r="B28" s="131" t="s">
        <v>102</v>
      </c>
    </row>
    <row r="29" spans="1:3">
      <c r="B29" s="131" t="s">
        <v>103</v>
      </c>
    </row>
    <row r="30" spans="1:3">
      <c r="B30" s="132" t="s">
        <v>104</v>
      </c>
    </row>
  </sheetData>
  <sheetProtection algorithmName="SHA-512" hashValue="ubsSVAdkDK2C2IOdYkVGz0uNhUrA6ouJTbPrsDWfjd5mtgrGiuFoqbo2sFXme+/JWi0wtsRKLghadye6JSomcA==" saltValue="xRyZ9VVrLi0Dr7nYeztdIQ==" spinCount="100000" sheet="1" objects="1" scenarios="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D53D-AB5E-412D-B0BC-AEF27294ACE1}">
  <sheetPr codeName="Sheet1"/>
  <dimension ref="A1:N129"/>
  <sheetViews>
    <sheetView workbookViewId="0">
      <selection activeCell="L21" sqref="L21"/>
    </sheetView>
  </sheetViews>
  <sheetFormatPr defaultRowHeight="18.75"/>
  <cols>
    <col min="2" max="2" width="10.125" bestFit="1" customWidth="1"/>
    <col min="3" max="3" width="10" bestFit="1" customWidth="1"/>
    <col min="4" max="4" width="10.125" bestFit="1" customWidth="1"/>
    <col min="5" max="5" width="10" bestFit="1" customWidth="1"/>
    <col min="7" max="7" width="17" customWidth="1"/>
    <col min="8" max="8" width="9.5" bestFit="1" customWidth="1"/>
    <col min="9" max="9" width="10.125" bestFit="1" customWidth="1"/>
    <col min="12" max="12" width="14" bestFit="1" customWidth="1"/>
    <col min="14" max="14" width="10" bestFit="1" customWidth="1"/>
  </cols>
  <sheetData>
    <row r="1" spans="1:10" ht="19.5" thickBot="1">
      <c r="B1" s="112" t="s">
        <v>0</v>
      </c>
      <c r="C1" s="113"/>
      <c r="D1" s="113"/>
      <c r="E1" s="114"/>
      <c r="G1" s="93" t="s">
        <v>5</v>
      </c>
    </row>
    <row r="2" spans="1:10" ht="19.5" thickBot="1">
      <c r="A2" s="105" t="s">
        <v>1</v>
      </c>
      <c r="B2" s="96" t="s">
        <v>3</v>
      </c>
      <c r="C2" s="106" t="s">
        <v>2</v>
      </c>
      <c r="D2" s="96" t="s">
        <v>4</v>
      </c>
      <c r="E2" s="97" t="s">
        <v>2</v>
      </c>
      <c r="G2" s="96" t="s">
        <v>3</v>
      </c>
      <c r="H2" s="97" t="s">
        <v>2</v>
      </c>
      <c r="I2" s="98" t="s">
        <v>4</v>
      </c>
      <c r="J2" s="97" t="s">
        <v>2</v>
      </c>
    </row>
    <row r="3" spans="1:10">
      <c r="A3" s="119">
        <v>1</v>
      </c>
      <c r="B3" s="120" t="s">
        <v>37</v>
      </c>
      <c r="C3" s="121">
        <f>E3+E4</f>
        <v>1500</v>
      </c>
      <c r="D3" s="120" t="s">
        <v>40</v>
      </c>
      <c r="E3" s="122">
        <v>1000</v>
      </c>
      <c r="G3" s="94" t="s">
        <v>6</v>
      </c>
      <c r="H3" s="95">
        <f>SUMIF(B3:B126,"現金",C3:C126)</f>
        <v>50000</v>
      </c>
      <c r="I3" s="94" t="s">
        <v>6</v>
      </c>
      <c r="J3" s="95">
        <f>SUMIF($D$3:$D$126,"現金",$E$3:$E$126)</f>
        <v>21900</v>
      </c>
    </row>
    <row r="4" spans="1:10">
      <c r="A4" s="99">
        <v>1</v>
      </c>
      <c r="B4" s="100"/>
      <c r="C4" s="101"/>
      <c r="D4" s="100" t="s">
        <v>38</v>
      </c>
      <c r="E4" s="102">
        <v>500</v>
      </c>
      <c r="G4" s="3" t="s">
        <v>8</v>
      </c>
      <c r="H4" s="7">
        <f>SUMIF($B$3:$B$126,"食費",$C$3:$C$126)</f>
        <v>36550</v>
      </c>
      <c r="I4" s="3" t="s">
        <v>11</v>
      </c>
      <c r="J4" s="7">
        <f>SUMIF($D$3:$D$126,"給料",$E$3:$E$126)</f>
        <v>400000</v>
      </c>
    </row>
    <row r="5" spans="1:10">
      <c r="A5" s="99">
        <v>1</v>
      </c>
      <c r="B5" s="100" t="s">
        <v>39</v>
      </c>
      <c r="C5" s="101">
        <v>5000</v>
      </c>
      <c r="D5" s="100" t="s">
        <v>42</v>
      </c>
      <c r="E5" s="102">
        <v>5000</v>
      </c>
      <c r="G5" s="3" t="s">
        <v>9</v>
      </c>
      <c r="H5" s="7">
        <f>SUMIF(B3:B126,"生活費",C3:C126)</f>
        <v>58000</v>
      </c>
      <c r="I5" s="3" t="s">
        <v>12</v>
      </c>
      <c r="J5" s="7">
        <f>SUMIF($D$3:$D$126,"売上金",$E$3:$E$126)</f>
        <v>0</v>
      </c>
    </row>
    <row r="6" spans="1:10">
      <c r="A6" s="99">
        <v>2</v>
      </c>
      <c r="B6" s="100" t="s">
        <v>37</v>
      </c>
      <c r="C6" s="101">
        <v>800</v>
      </c>
      <c r="D6" s="100" t="s">
        <v>38</v>
      </c>
      <c r="E6" s="102">
        <f>C6</f>
        <v>800</v>
      </c>
      <c r="G6" s="3" t="s">
        <v>7</v>
      </c>
      <c r="H6" s="7">
        <f>SUMIF(B3:B126,"交通費",C3:C126)</f>
        <v>10000</v>
      </c>
      <c r="I6" s="3" t="s">
        <v>8</v>
      </c>
      <c r="J6" s="7">
        <f>SUMIF($D$3:$D$126,"食費",$E$3:$E$126)</f>
        <v>0</v>
      </c>
    </row>
    <row r="7" spans="1:10">
      <c r="A7" s="99">
        <v>3</v>
      </c>
      <c r="B7" s="100" t="s">
        <v>37</v>
      </c>
      <c r="C7" s="101">
        <f>E7+E8</f>
        <v>4100</v>
      </c>
      <c r="D7" s="100" t="s">
        <v>38</v>
      </c>
      <c r="E7" s="102">
        <v>100</v>
      </c>
      <c r="G7" s="3" t="s">
        <v>15</v>
      </c>
      <c r="H7" s="7">
        <f>SUMIF(B3:B126,"娯楽費",C3:C126)</f>
        <v>55660</v>
      </c>
      <c r="I7" s="3" t="s">
        <v>7</v>
      </c>
      <c r="J7" s="7">
        <f>SUMIF($D$3:$D$126,"交通費",$E$3:$E$126)</f>
        <v>3850</v>
      </c>
    </row>
    <row r="8" spans="1:10">
      <c r="A8" s="99">
        <v>3</v>
      </c>
      <c r="B8" s="100"/>
      <c r="C8" s="101"/>
      <c r="D8" s="100" t="s">
        <v>40</v>
      </c>
      <c r="E8" s="102">
        <v>4000</v>
      </c>
      <c r="G8" s="3" t="s">
        <v>10</v>
      </c>
      <c r="H8" s="7">
        <f>SUMIF(B3:B126,"携帯電話料金",C3:C126)</f>
        <v>0</v>
      </c>
      <c r="I8" s="3" t="s">
        <v>9</v>
      </c>
      <c r="J8" s="7">
        <f>SUMIF($D$3:$D$126,"生活費",$E$3:$E$126)</f>
        <v>0</v>
      </c>
    </row>
    <row r="9" spans="1:10">
      <c r="A9" s="99">
        <v>4</v>
      </c>
      <c r="B9" s="100" t="s">
        <v>37</v>
      </c>
      <c r="C9" s="101">
        <v>300</v>
      </c>
      <c r="D9" s="100" t="s">
        <v>40</v>
      </c>
      <c r="E9" s="102">
        <f>C9</f>
        <v>300</v>
      </c>
      <c r="G9" s="3" t="s">
        <v>16</v>
      </c>
      <c r="H9" s="7">
        <f>SUMIF(B3:B126,"自己研鑽費",C3:C126)</f>
        <v>0</v>
      </c>
      <c r="I9" s="3" t="s">
        <v>13</v>
      </c>
      <c r="J9" s="7">
        <f>SUMIF($D$3:$D$126,"雑益",$E$3:$E$126)</f>
        <v>0</v>
      </c>
    </row>
    <row r="10" spans="1:10">
      <c r="A10" s="99">
        <v>5</v>
      </c>
      <c r="B10" s="100" t="s">
        <v>37</v>
      </c>
      <c r="C10" s="101">
        <v>600</v>
      </c>
      <c r="D10" s="100" t="s">
        <v>40</v>
      </c>
      <c r="E10" s="102">
        <f>C10</f>
        <v>600</v>
      </c>
      <c r="G10" s="3" t="s">
        <v>17</v>
      </c>
      <c r="H10" s="7">
        <f>SUMIF(B3:B126,"会社立替費",C3:C126)</f>
        <v>0</v>
      </c>
      <c r="I10" s="3" t="s">
        <v>14</v>
      </c>
      <c r="J10" s="7">
        <f>SUMIF($D$3:$D$126,"クレジット",$E$3:$E$126)</f>
        <v>123300</v>
      </c>
    </row>
    <row r="11" spans="1:10">
      <c r="A11" s="99">
        <v>4</v>
      </c>
      <c r="B11" s="100" t="s">
        <v>61</v>
      </c>
      <c r="C11" s="101">
        <v>400</v>
      </c>
      <c r="D11" s="100" t="s">
        <v>44</v>
      </c>
      <c r="E11" s="102">
        <f>C11</f>
        <v>400</v>
      </c>
      <c r="G11" s="3" t="s">
        <v>19</v>
      </c>
      <c r="H11" s="7">
        <f>SUMIF(B4:B127,"当座預金",C4:C127)</f>
        <v>405000</v>
      </c>
      <c r="I11" s="3" t="s">
        <v>19</v>
      </c>
      <c r="J11" s="7">
        <f>SUMIF($D$3:$D$126,"当座預金",$E$3:$E$126)</f>
        <v>201670</v>
      </c>
    </row>
    <row r="12" spans="1:10">
      <c r="A12" s="99">
        <v>2</v>
      </c>
      <c r="B12" s="100" t="s">
        <v>42</v>
      </c>
      <c r="C12" s="101">
        <v>100000</v>
      </c>
      <c r="D12" s="100" t="s">
        <v>44</v>
      </c>
      <c r="E12" s="102">
        <f>C12</f>
        <v>100000</v>
      </c>
      <c r="G12" s="3" t="s">
        <v>27</v>
      </c>
      <c r="H12" s="7">
        <f>SUMIF($B$3:$B$128,"医療費",$C$3:$C$128)</f>
        <v>0</v>
      </c>
    </row>
    <row r="13" spans="1:10">
      <c r="A13" s="99">
        <v>7</v>
      </c>
      <c r="B13" s="100" t="s">
        <v>37</v>
      </c>
      <c r="C13" s="101">
        <f>E13+E14</f>
        <v>2500</v>
      </c>
      <c r="D13" s="100" t="s">
        <v>40</v>
      </c>
      <c r="E13" s="102">
        <v>2000</v>
      </c>
      <c r="G13" s="3" t="s">
        <v>28</v>
      </c>
      <c r="H13" s="7">
        <f>SUMIF($B$3:$B$128,"備品費",$C$3:$C$128)</f>
        <v>0</v>
      </c>
    </row>
    <row r="14" spans="1:10">
      <c r="A14" s="99">
        <v>7</v>
      </c>
      <c r="B14" s="100"/>
      <c r="C14" s="101"/>
      <c r="D14" s="100" t="s">
        <v>38</v>
      </c>
      <c r="E14" s="102">
        <v>500</v>
      </c>
      <c r="G14" s="3" t="s">
        <v>33</v>
      </c>
      <c r="H14" s="7">
        <f>SUMIF($B$3:$B$128,OR("家賃料","駐輪場代"),$C$3:$C$128)</f>
        <v>0</v>
      </c>
    </row>
    <row r="15" spans="1:10">
      <c r="A15" s="99">
        <v>8</v>
      </c>
      <c r="B15" s="100" t="s">
        <v>38</v>
      </c>
      <c r="C15" s="101">
        <v>10000</v>
      </c>
      <c r="D15" s="100" t="s">
        <v>42</v>
      </c>
      <c r="E15" s="102">
        <f>C15</f>
        <v>10000</v>
      </c>
      <c r="G15" s="3" t="s">
        <v>34</v>
      </c>
      <c r="H15" s="7">
        <f>SUMIF($B$3:$B$128,"水道料金",$C$3:$C$128)</f>
        <v>0</v>
      </c>
    </row>
    <row r="16" spans="1:10">
      <c r="A16" s="99">
        <v>9</v>
      </c>
      <c r="B16" s="100" t="s">
        <v>43</v>
      </c>
      <c r="C16" s="101">
        <v>30000</v>
      </c>
      <c r="D16" s="100" t="s">
        <v>42</v>
      </c>
      <c r="E16" s="102">
        <f>C16</f>
        <v>30000</v>
      </c>
      <c r="G16" s="3" t="s">
        <v>35</v>
      </c>
      <c r="H16" s="7">
        <f>SUMIF($B$3:$B$128,"電気料金",$C$3:$C$128)</f>
        <v>5000</v>
      </c>
    </row>
    <row r="17" spans="1:14">
      <c r="A17" s="99">
        <v>10</v>
      </c>
      <c r="B17" s="100" t="s">
        <v>43</v>
      </c>
      <c r="C17" s="101">
        <v>5000</v>
      </c>
      <c r="D17" s="100" t="s">
        <v>42</v>
      </c>
      <c r="E17" s="102">
        <f>C17</f>
        <v>5000</v>
      </c>
      <c r="G17" s="3" t="s">
        <v>32</v>
      </c>
      <c r="H17" s="7">
        <f>SUMIF($B$3:$B$128,"ガス料金",$C$3:$C$128)</f>
        <v>5000</v>
      </c>
    </row>
    <row r="18" spans="1:14">
      <c r="A18" s="99">
        <v>11</v>
      </c>
      <c r="B18" s="100" t="s">
        <v>37</v>
      </c>
      <c r="C18" s="101">
        <f>E18+E19+E20</f>
        <v>7000</v>
      </c>
      <c r="D18" s="100" t="s">
        <v>40</v>
      </c>
      <c r="E18" s="102">
        <v>1000</v>
      </c>
      <c r="G18" s="42" t="s">
        <v>31</v>
      </c>
      <c r="H18" s="7">
        <f>SUMIF($B$3:$B$128,"交際費",$C$3:$C$128)</f>
        <v>0</v>
      </c>
    </row>
    <row r="19" spans="1:14">
      <c r="A19" s="99">
        <v>11</v>
      </c>
      <c r="B19" s="100"/>
      <c r="C19" s="101"/>
      <c r="D19" s="100" t="s">
        <v>38</v>
      </c>
      <c r="E19" s="102">
        <v>1000</v>
      </c>
      <c r="G19" s="42" t="s">
        <v>61</v>
      </c>
      <c r="H19" s="7">
        <f>SUMIF($B$3:$B$128,"雑費",$C$3:$C$128)</f>
        <v>510</v>
      </c>
    </row>
    <row r="20" spans="1:14" ht="19.5" thickBot="1">
      <c r="A20" s="99">
        <v>11</v>
      </c>
      <c r="B20" s="100"/>
      <c r="C20" s="101"/>
      <c r="D20" s="100" t="s">
        <v>42</v>
      </c>
      <c r="E20" s="102">
        <v>5000</v>
      </c>
    </row>
    <row r="21" spans="1:14" ht="19.5" thickBot="1">
      <c r="A21" s="99">
        <v>11</v>
      </c>
      <c r="B21" s="100" t="s">
        <v>43</v>
      </c>
      <c r="C21" s="101">
        <v>8000</v>
      </c>
      <c r="D21" s="100" t="s">
        <v>42</v>
      </c>
      <c r="E21" s="102">
        <f t="shared" ref="E21:E27" si="0">C21</f>
        <v>8000</v>
      </c>
      <c r="L21" s="15" t="s">
        <v>93</v>
      </c>
      <c r="N21" s="69" t="s">
        <v>76</v>
      </c>
    </row>
    <row r="22" spans="1:14" ht="19.5" thickBot="1">
      <c r="A22" s="99">
        <v>13</v>
      </c>
      <c r="B22" s="100" t="s">
        <v>43</v>
      </c>
      <c r="C22" s="101">
        <v>900</v>
      </c>
      <c r="D22" s="100" t="s">
        <v>42</v>
      </c>
      <c r="E22" s="102">
        <f t="shared" si="0"/>
        <v>900</v>
      </c>
      <c r="G22" s="17" t="s">
        <v>18</v>
      </c>
      <c r="L22" s="72" t="s">
        <v>89</v>
      </c>
      <c r="M22" s="73"/>
      <c r="N22" s="74">
        <v>2355422</v>
      </c>
    </row>
    <row r="23" spans="1:14">
      <c r="A23" s="99">
        <v>10</v>
      </c>
      <c r="B23" s="100" t="s">
        <v>42</v>
      </c>
      <c r="C23" s="101">
        <v>10000</v>
      </c>
      <c r="D23" s="100" t="s">
        <v>44</v>
      </c>
      <c r="E23" s="102">
        <f t="shared" si="0"/>
        <v>10000</v>
      </c>
      <c r="G23" s="20" t="s">
        <v>8</v>
      </c>
      <c r="H23" s="89">
        <f>H4</f>
        <v>36550</v>
      </c>
      <c r="I23" s="19"/>
      <c r="L23" s="75" t="s">
        <v>20</v>
      </c>
      <c r="M23" s="33">
        <f>J11</f>
        <v>201670</v>
      </c>
      <c r="N23" s="76"/>
    </row>
    <row r="24" spans="1:14">
      <c r="A24" s="99">
        <v>14</v>
      </c>
      <c r="B24" s="100" t="s">
        <v>48</v>
      </c>
      <c r="C24" s="101">
        <v>5000</v>
      </c>
      <c r="D24" s="100" t="s">
        <v>44</v>
      </c>
      <c r="E24" s="102">
        <f t="shared" si="0"/>
        <v>5000</v>
      </c>
      <c r="G24" s="21" t="s">
        <v>9</v>
      </c>
      <c r="H24" s="36">
        <f>H5</f>
        <v>58000</v>
      </c>
      <c r="I24" s="10"/>
      <c r="L24" s="75" t="s">
        <v>21</v>
      </c>
      <c r="M24" s="33">
        <f>H11</f>
        <v>405000</v>
      </c>
      <c r="N24" s="76"/>
    </row>
    <row r="25" spans="1:14" ht="19.5" thickBot="1">
      <c r="A25" s="99">
        <v>15</v>
      </c>
      <c r="B25" s="100" t="s">
        <v>37</v>
      </c>
      <c r="C25" s="101">
        <v>5000</v>
      </c>
      <c r="D25" s="100" t="s">
        <v>42</v>
      </c>
      <c r="E25" s="102">
        <f t="shared" si="0"/>
        <v>5000</v>
      </c>
      <c r="G25" s="21" t="s">
        <v>7</v>
      </c>
      <c r="H25" s="36">
        <f>H6</f>
        <v>10000</v>
      </c>
      <c r="I25" s="10"/>
      <c r="L25" s="77" t="s">
        <v>87</v>
      </c>
      <c r="M25" s="78"/>
      <c r="N25" s="79">
        <f>N22-M23+M24</f>
        <v>2558752</v>
      </c>
    </row>
    <row r="26" spans="1:14">
      <c r="A26" s="99">
        <v>15</v>
      </c>
      <c r="B26" s="100" t="s">
        <v>43</v>
      </c>
      <c r="C26" s="101">
        <v>600</v>
      </c>
      <c r="D26" s="100" t="s">
        <v>42</v>
      </c>
      <c r="E26" s="102">
        <f t="shared" si="0"/>
        <v>600</v>
      </c>
      <c r="G26" s="21" t="s">
        <v>15</v>
      </c>
      <c r="H26" s="36">
        <f>H7</f>
        <v>55660</v>
      </c>
      <c r="I26" s="10"/>
      <c r="L26" s="22" t="s">
        <v>90</v>
      </c>
      <c r="M26" s="80"/>
      <c r="N26" s="81">
        <v>56015</v>
      </c>
    </row>
    <row r="27" spans="1:14">
      <c r="A27" s="99">
        <v>15</v>
      </c>
      <c r="B27" s="100" t="s">
        <v>37</v>
      </c>
      <c r="C27" s="101">
        <v>500</v>
      </c>
      <c r="D27" s="100" t="s">
        <v>38</v>
      </c>
      <c r="E27" s="102">
        <f t="shared" si="0"/>
        <v>500</v>
      </c>
      <c r="G27" s="21" t="s">
        <v>16</v>
      </c>
      <c r="H27" s="36">
        <f>H9</f>
        <v>0</v>
      </c>
      <c r="I27" s="10"/>
      <c r="L27" s="75" t="s">
        <v>22</v>
      </c>
      <c r="M27" s="33">
        <f>J3</f>
        <v>21900</v>
      </c>
      <c r="N27" s="76"/>
    </row>
    <row r="28" spans="1:14">
      <c r="A28" s="99">
        <v>17</v>
      </c>
      <c r="B28" s="100" t="s">
        <v>37</v>
      </c>
      <c r="C28" s="101">
        <f>E28+E29</f>
        <v>5000</v>
      </c>
      <c r="D28" s="100" t="s">
        <v>40</v>
      </c>
      <c r="E28" s="102">
        <v>2000</v>
      </c>
      <c r="G28" s="21" t="s">
        <v>10</v>
      </c>
      <c r="H28" s="36">
        <f>H8</f>
        <v>0</v>
      </c>
      <c r="I28" s="10"/>
      <c r="L28" s="75" t="s">
        <v>23</v>
      </c>
      <c r="M28" s="33">
        <f>H3</f>
        <v>50000</v>
      </c>
      <c r="N28" s="76"/>
    </row>
    <row r="29" spans="1:14" ht="19.5" thickBot="1">
      <c r="A29" s="99">
        <v>17</v>
      </c>
      <c r="B29" s="100"/>
      <c r="C29" s="101"/>
      <c r="D29" s="100" t="s">
        <v>42</v>
      </c>
      <c r="E29" s="102">
        <v>3000</v>
      </c>
      <c r="G29" s="21" t="s">
        <v>17</v>
      </c>
      <c r="H29" s="36">
        <f>H10</f>
        <v>0</v>
      </c>
      <c r="I29" s="10"/>
      <c r="L29" s="77" t="s">
        <v>88</v>
      </c>
      <c r="M29" s="78"/>
      <c r="N29" s="79">
        <f>N26+M28-M27</f>
        <v>84115</v>
      </c>
    </row>
    <row r="30" spans="1:14" ht="19.5" thickBot="1">
      <c r="A30" s="99">
        <v>18</v>
      </c>
      <c r="B30" s="100" t="s">
        <v>37</v>
      </c>
      <c r="C30" s="101">
        <v>5000</v>
      </c>
      <c r="D30" s="100" t="s">
        <v>40</v>
      </c>
      <c r="E30" s="102">
        <f>C30</f>
        <v>5000</v>
      </c>
      <c r="G30" s="21" t="s">
        <v>29</v>
      </c>
      <c r="H30" s="36">
        <f>H13</f>
        <v>0</v>
      </c>
      <c r="I30" s="10"/>
      <c r="L30" s="24" t="s">
        <v>30</v>
      </c>
      <c r="M30" s="25"/>
      <c r="N30" s="26">
        <f>N25+N29</f>
        <v>2642867</v>
      </c>
    </row>
    <row r="31" spans="1:14">
      <c r="A31" s="99">
        <v>20</v>
      </c>
      <c r="B31" s="100" t="s">
        <v>43</v>
      </c>
      <c r="C31" s="101">
        <v>11160</v>
      </c>
      <c r="D31" s="100" t="s">
        <v>44</v>
      </c>
      <c r="E31" s="102">
        <f>C31</f>
        <v>11160</v>
      </c>
      <c r="G31" s="21" t="s">
        <v>27</v>
      </c>
      <c r="H31" s="36">
        <f>H12</f>
        <v>0</v>
      </c>
      <c r="I31" s="10"/>
    </row>
    <row r="32" spans="1:14">
      <c r="A32" s="99">
        <v>20</v>
      </c>
      <c r="B32" s="100" t="s">
        <v>42</v>
      </c>
      <c r="C32" s="101">
        <v>15000</v>
      </c>
      <c r="D32" s="100" t="s">
        <v>43</v>
      </c>
      <c r="E32" s="102">
        <f>C32</f>
        <v>15000</v>
      </c>
      <c r="G32" s="21" t="s">
        <v>31</v>
      </c>
      <c r="H32" s="36">
        <f>H18</f>
        <v>0</v>
      </c>
      <c r="I32" s="10"/>
      <c r="N32" s="9"/>
    </row>
    <row r="33" spans="1:9">
      <c r="A33" s="99">
        <v>21</v>
      </c>
      <c r="B33" s="100" t="s">
        <v>37</v>
      </c>
      <c r="C33" s="101">
        <v>2000</v>
      </c>
      <c r="D33" s="100" t="s">
        <v>40</v>
      </c>
      <c r="E33" s="102">
        <f>C33+C34</f>
        <v>5000</v>
      </c>
      <c r="F33" s="40"/>
      <c r="G33" s="71" t="s">
        <v>33</v>
      </c>
      <c r="H33" s="36">
        <f>H14</f>
        <v>0</v>
      </c>
      <c r="I33" s="10"/>
    </row>
    <row r="34" spans="1:9">
      <c r="A34" s="99">
        <v>21</v>
      </c>
      <c r="B34" s="100" t="s">
        <v>39</v>
      </c>
      <c r="C34" s="101">
        <v>3000</v>
      </c>
      <c r="D34" s="100"/>
      <c r="E34" s="102"/>
      <c r="F34" s="40"/>
      <c r="G34" s="82" t="s">
        <v>34</v>
      </c>
      <c r="H34" s="36">
        <f>H15</f>
        <v>0</v>
      </c>
      <c r="I34" s="10"/>
    </row>
    <row r="35" spans="1:9">
      <c r="A35" s="99">
        <v>22</v>
      </c>
      <c r="B35" s="100" t="s">
        <v>37</v>
      </c>
      <c r="C35" s="101">
        <v>450</v>
      </c>
      <c r="D35" s="100" t="s">
        <v>38</v>
      </c>
      <c r="E35" s="102">
        <f t="shared" ref="E35:E44" si="1">C35</f>
        <v>450</v>
      </c>
      <c r="F35" s="40"/>
      <c r="G35" s="82" t="s">
        <v>35</v>
      </c>
      <c r="H35" s="36">
        <f>H16</f>
        <v>5000</v>
      </c>
      <c r="I35" s="10"/>
    </row>
    <row r="36" spans="1:9">
      <c r="A36" s="99">
        <v>23</v>
      </c>
      <c r="B36" s="100" t="s">
        <v>39</v>
      </c>
      <c r="C36" s="101">
        <v>50000</v>
      </c>
      <c r="D36" s="100" t="s">
        <v>42</v>
      </c>
      <c r="E36" s="102">
        <f t="shared" si="1"/>
        <v>50000</v>
      </c>
      <c r="F36" s="40"/>
      <c r="G36" s="82" t="s">
        <v>32</v>
      </c>
      <c r="H36" s="36">
        <f t="shared" ref="H36" si="2">H17</f>
        <v>5000</v>
      </c>
      <c r="I36" s="10"/>
    </row>
    <row r="37" spans="1:9">
      <c r="A37" s="99">
        <v>22</v>
      </c>
      <c r="B37" s="100" t="s">
        <v>40</v>
      </c>
      <c r="C37" s="101">
        <v>50000</v>
      </c>
      <c r="D37" s="100" t="s">
        <v>44</v>
      </c>
      <c r="E37" s="102">
        <f t="shared" si="1"/>
        <v>50000</v>
      </c>
      <c r="F37" s="70"/>
      <c r="G37" s="83" t="s">
        <v>61</v>
      </c>
      <c r="H37" s="36">
        <f>H19</f>
        <v>510</v>
      </c>
      <c r="I37" s="10"/>
    </row>
    <row r="38" spans="1:9">
      <c r="A38" s="99">
        <v>22</v>
      </c>
      <c r="B38" s="100" t="s">
        <v>61</v>
      </c>
      <c r="C38" s="101">
        <v>110</v>
      </c>
      <c r="D38" s="100" t="s">
        <v>45</v>
      </c>
      <c r="E38" s="102">
        <f t="shared" si="1"/>
        <v>110</v>
      </c>
      <c r="G38" s="22" t="s">
        <v>24</v>
      </c>
      <c r="H38" s="8"/>
      <c r="I38" s="90">
        <f>SUM(H23:H37)</f>
        <v>170720</v>
      </c>
    </row>
    <row r="39" spans="1:9">
      <c r="A39" s="99">
        <v>23</v>
      </c>
      <c r="B39" s="100" t="s">
        <v>36</v>
      </c>
      <c r="C39" s="101">
        <v>5000</v>
      </c>
      <c r="D39" s="100" t="s">
        <v>45</v>
      </c>
      <c r="E39" s="102">
        <f t="shared" si="1"/>
        <v>5000</v>
      </c>
      <c r="G39" s="21" t="s">
        <v>11</v>
      </c>
      <c r="H39" s="36">
        <f>J4</f>
        <v>400000</v>
      </c>
      <c r="I39" s="10"/>
    </row>
    <row r="40" spans="1:9">
      <c r="A40" s="99">
        <v>24</v>
      </c>
      <c r="B40" s="100" t="s">
        <v>37</v>
      </c>
      <c r="C40" s="101">
        <v>1000</v>
      </c>
      <c r="D40" s="100" t="s">
        <v>40</v>
      </c>
      <c r="E40" s="102">
        <f t="shared" si="1"/>
        <v>1000</v>
      </c>
      <c r="G40" s="21" t="s">
        <v>25</v>
      </c>
      <c r="H40" s="36">
        <f>J5</f>
        <v>0</v>
      </c>
      <c r="I40" s="10"/>
    </row>
    <row r="41" spans="1:9">
      <c r="A41" s="99">
        <v>24</v>
      </c>
      <c r="B41" s="100" t="s">
        <v>44</v>
      </c>
      <c r="C41" s="101">
        <v>400000</v>
      </c>
      <c r="D41" s="100" t="s">
        <v>46</v>
      </c>
      <c r="E41" s="102">
        <f t="shared" si="1"/>
        <v>400000</v>
      </c>
      <c r="G41" s="21" t="s">
        <v>13</v>
      </c>
      <c r="H41" s="36">
        <f>J9</f>
        <v>0</v>
      </c>
      <c r="I41" s="10"/>
    </row>
    <row r="42" spans="1:9">
      <c r="A42" s="99">
        <v>26</v>
      </c>
      <c r="B42" s="100" t="s">
        <v>37</v>
      </c>
      <c r="C42" s="101">
        <v>800</v>
      </c>
      <c r="D42" s="100" t="s">
        <v>42</v>
      </c>
      <c r="E42" s="102">
        <f t="shared" si="1"/>
        <v>800</v>
      </c>
      <c r="G42" s="21" t="s">
        <v>8</v>
      </c>
      <c r="H42" s="36">
        <f>J6</f>
        <v>0</v>
      </c>
      <c r="I42" s="10"/>
    </row>
    <row r="43" spans="1:9">
      <c r="A43" s="99">
        <v>27</v>
      </c>
      <c r="B43" s="100" t="s">
        <v>44</v>
      </c>
      <c r="C43" s="101">
        <v>5000</v>
      </c>
      <c r="D43" s="100" t="s">
        <v>62</v>
      </c>
      <c r="E43" s="102">
        <f t="shared" si="1"/>
        <v>5000</v>
      </c>
      <c r="G43" s="21" t="s">
        <v>9</v>
      </c>
      <c r="H43" s="36">
        <f>J8</f>
        <v>0</v>
      </c>
      <c r="I43" s="10"/>
    </row>
    <row r="44" spans="1:9">
      <c r="A44" s="99">
        <v>27</v>
      </c>
      <c r="B44" s="100" t="s">
        <v>42</v>
      </c>
      <c r="C44" s="101">
        <v>20000</v>
      </c>
      <c r="D44" s="100" t="s">
        <v>44</v>
      </c>
      <c r="E44" s="102">
        <f t="shared" si="1"/>
        <v>20000</v>
      </c>
      <c r="G44" s="21" t="s">
        <v>7</v>
      </c>
      <c r="H44" s="36">
        <f>J7</f>
        <v>3850</v>
      </c>
      <c r="I44" s="10"/>
    </row>
    <row r="45" spans="1:9">
      <c r="A45" s="99"/>
      <c r="B45" s="100"/>
      <c r="C45" s="101"/>
      <c r="D45" s="100"/>
      <c r="E45" s="102"/>
      <c r="G45" s="22" t="s">
        <v>26</v>
      </c>
      <c r="H45" s="8"/>
      <c r="I45" s="90">
        <f>SUM(H39:H44)</f>
        <v>403850</v>
      </c>
    </row>
    <row r="46" spans="1:9" ht="19.5" thickBot="1">
      <c r="A46" s="99"/>
      <c r="B46" s="100"/>
      <c r="C46" s="101"/>
      <c r="D46" s="100"/>
      <c r="E46" s="102"/>
      <c r="G46" s="23" t="str">
        <f>IF(I46&lt;0,"当月純損失","当月純利益")</f>
        <v>当月純利益</v>
      </c>
      <c r="H46" s="13"/>
      <c r="I46" s="91">
        <f>-I38+I45</f>
        <v>233130</v>
      </c>
    </row>
    <row r="47" spans="1:9">
      <c r="A47" s="99"/>
      <c r="B47" s="100"/>
      <c r="C47" s="101"/>
      <c r="D47" s="100"/>
      <c r="E47" s="102"/>
    </row>
    <row r="48" spans="1:9">
      <c r="A48" s="99"/>
      <c r="B48" s="100"/>
      <c r="C48" s="101"/>
      <c r="D48" s="100"/>
      <c r="E48" s="102"/>
    </row>
    <row r="49" spans="1:5">
      <c r="A49" s="99"/>
      <c r="B49" s="100"/>
      <c r="C49" s="101"/>
      <c r="D49" s="100"/>
      <c r="E49" s="102"/>
    </row>
    <row r="50" spans="1:5">
      <c r="A50" s="99"/>
      <c r="B50" s="100"/>
      <c r="C50" s="101"/>
      <c r="D50" s="100"/>
      <c r="E50" s="102"/>
    </row>
    <row r="51" spans="1:5">
      <c r="A51" s="99"/>
      <c r="B51" s="100"/>
      <c r="C51" s="101"/>
      <c r="D51" s="100"/>
      <c r="E51" s="102"/>
    </row>
    <row r="52" spans="1:5">
      <c r="A52" s="99"/>
      <c r="B52" s="100"/>
      <c r="C52" s="101"/>
      <c r="D52" s="100"/>
      <c r="E52" s="102"/>
    </row>
    <row r="53" spans="1:5">
      <c r="A53" s="99"/>
      <c r="B53" s="100"/>
      <c r="C53" s="101"/>
      <c r="D53" s="100"/>
      <c r="E53" s="102"/>
    </row>
    <row r="54" spans="1:5">
      <c r="A54" s="99"/>
      <c r="B54" s="100"/>
      <c r="C54" s="101"/>
      <c r="D54" s="100"/>
      <c r="E54" s="102"/>
    </row>
    <row r="55" spans="1:5">
      <c r="A55" s="99"/>
      <c r="B55" s="100"/>
      <c r="C55" s="101"/>
      <c r="D55" s="100"/>
      <c r="E55" s="102"/>
    </row>
    <row r="56" spans="1:5">
      <c r="A56" s="99"/>
      <c r="B56" s="100"/>
      <c r="C56" s="101"/>
      <c r="D56" s="100"/>
      <c r="E56" s="102"/>
    </row>
    <row r="57" spans="1:5">
      <c r="A57" s="99"/>
      <c r="B57" s="100"/>
      <c r="C57" s="101"/>
      <c r="D57" s="100"/>
      <c r="E57" s="102"/>
    </row>
    <row r="58" spans="1:5">
      <c r="A58" s="99"/>
      <c r="B58" s="100"/>
      <c r="C58" s="101"/>
      <c r="D58" s="100"/>
      <c r="E58" s="102"/>
    </row>
    <row r="59" spans="1:5">
      <c r="A59" s="99"/>
      <c r="B59" s="100"/>
      <c r="C59" s="101"/>
      <c r="D59" s="100"/>
      <c r="E59" s="102"/>
    </row>
    <row r="60" spans="1:5">
      <c r="A60" s="99"/>
      <c r="B60" s="100"/>
      <c r="C60" s="101"/>
      <c r="D60" s="100"/>
      <c r="E60" s="102"/>
    </row>
    <row r="61" spans="1:5">
      <c r="A61" s="99"/>
      <c r="B61" s="100"/>
      <c r="C61" s="101"/>
      <c r="D61" s="100"/>
      <c r="E61" s="102"/>
    </row>
    <row r="62" spans="1:5">
      <c r="A62" s="99"/>
      <c r="B62" s="100"/>
      <c r="C62" s="101"/>
      <c r="D62" s="100"/>
      <c r="E62" s="102"/>
    </row>
    <row r="63" spans="1:5">
      <c r="A63" s="99"/>
      <c r="B63" s="100"/>
      <c r="C63" s="101"/>
      <c r="D63" s="100"/>
      <c r="E63" s="102"/>
    </row>
    <row r="64" spans="1:5">
      <c r="A64" s="99"/>
      <c r="B64" s="100"/>
      <c r="C64" s="101"/>
      <c r="D64" s="100"/>
      <c r="E64" s="102"/>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1"/>
      <c r="B126" s="6"/>
      <c r="C126" s="5"/>
      <c r="D126" s="6"/>
      <c r="E126" s="4"/>
    </row>
    <row r="127" spans="1:5">
      <c r="A127" s="2"/>
    </row>
    <row r="128" spans="1:5">
      <c r="A128" s="2"/>
    </row>
    <row r="129" spans="1:1">
      <c r="A129" s="2"/>
    </row>
  </sheetData>
  <autoFilter ref="A2:E2" xr:uid="{B3CE0FBB-A6E4-4EFB-99F9-01045D141296}"/>
  <mergeCells count="1">
    <mergeCell ref="B1:E1"/>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transcribe">
                <anchor moveWithCells="1" sizeWithCells="1">
                  <from>
                    <xdr:col>10</xdr:col>
                    <xdr:colOff>657225</xdr:colOff>
                    <xdr:row>2</xdr:row>
                    <xdr:rowOff>219075</xdr:rowOff>
                  </from>
                  <to>
                    <xdr:col>13</xdr:col>
                    <xdr:colOff>123825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06B61-5674-4DAC-9A45-C295A733DA5E}">
  <sheetPr codeName="Sheet2"/>
  <dimension ref="A1:N129"/>
  <sheetViews>
    <sheetView zoomScaleNormal="100" workbookViewId="0">
      <selection activeCell="A6" sqref="A6"/>
    </sheetView>
  </sheetViews>
  <sheetFormatPr defaultRowHeight="18.75"/>
  <cols>
    <col min="2" max="2" width="12.875" customWidth="1"/>
    <col min="3" max="3" width="10" bestFit="1" customWidth="1"/>
    <col min="4" max="4" width="10.125" bestFit="1" customWidth="1"/>
    <col min="5" max="5" width="10.25" bestFit="1" customWidth="1"/>
    <col min="7" max="7" width="17.375" bestFit="1" customWidth="1"/>
    <col min="9" max="9" width="10.125" bestFit="1" customWidth="1"/>
    <col min="12" max="12" width="14" bestFit="1" customWidth="1"/>
    <col min="14" max="14" width="12.75"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SUMIF(B3:B126,"現金",C3:C126)</f>
        <v>0</v>
      </c>
      <c r="I3" s="94" t="s">
        <v>6</v>
      </c>
      <c r="J3" s="95">
        <f>SUMIF($D$3:$D$126,"現金",$E$3:$E$126)</f>
        <v>0</v>
      </c>
    </row>
    <row r="4" spans="1:10">
      <c r="A4" s="1"/>
      <c r="B4" s="6"/>
      <c r="C4" s="5"/>
      <c r="D4" s="6"/>
      <c r="E4" s="4"/>
      <c r="G4" s="3" t="s">
        <v>8</v>
      </c>
      <c r="H4" s="7">
        <f>SUMIF($B$3:$B$126,"食費",$C$3:$C$126)</f>
        <v>0</v>
      </c>
      <c r="I4" s="3" t="s">
        <v>11</v>
      </c>
      <c r="J4" s="7">
        <f>SUMIF($D$3:$D$126,"給料",$E$3:$E$126)</f>
        <v>0</v>
      </c>
    </row>
    <row r="5" spans="1:10">
      <c r="A5" s="1"/>
      <c r="B5" s="6"/>
      <c r="C5" s="5"/>
      <c r="D5" s="6"/>
      <c r="E5" s="4"/>
      <c r="G5" s="3" t="s">
        <v>9</v>
      </c>
      <c r="H5" s="7">
        <f>SUMIF(B3:B126,"生活費",C3:C126)</f>
        <v>0</v>
      </c>
      <c r="I5" s="3" t="s">
        <v>12</v>
      </c>
      <c r="J5" s="7">
        <f>SUMIF($D$3:$D$126,"売上金",$E$3:$E$126)</f>
        <v>0</v>
      </c>
    </row>
    <row r="6" spans="1:10">
      <c r="A6" s="1"/>
      <c r="B6" s="6"/>
      <c r="C6" s="5"/>
      <c r="D6" s="6"/>
      <c r="E6" s="4"/>
      <c r="G6" s="3" t="s">
        <v>7</v>
      </c>
      <c r="H6" s="7">
        <f>SUMIF(B3:B126,"交通費",C3:C126)</f>
        <v>0</v>
      </c>
      <c r="I6" s="3" t="s">
        <v>8</v>
      </c>
      <c r="J6" s="7">
        <f>SUMIF($D$3:$D$126,"食費",$E$3:$E$126)</f>
        <v>0</v>
      </c>
    </row>
    <row r="7" spans="1:10">
      <c r="A7" s="1"/>
      <c r="B7" s="6"/>
      <c r="C7" s="5"/>
      <c r="D7" s="6"/>
      <c r="E7" s="4"/>
      <c r="G7" s="3" t="s">
        <v>15</v>
      </c>
      <c r="H7" s="7">
        <f>SUMIF(B3:B126,"娯楽費",C3:C126)</f>
        <v>0</v>
      </c>
      <c r="I7" s="3" t="s">
        <v>7</v>
      </c>
      <c r="J7" s="7">
        <f>SUMIF($D$3:$D$126,"交通費",$E$3:$E$126)</f>
        <v>0</v>
      </c>
    </row>
    <row r="8" spans="1:10">
      <c r="A8" s="1"/>
      <c r="B8" s="6"/>
      <c r="C8" s="5"/>
      <c r="D8" s="6"/>
      <c r="E8" s="4"/>
      <c r="G8" s="3" t="s">
        <v>10</v>
      </c>
      <c r="H8" s="7">
        <f>SUMIF(B3:B126,"携帯電話料金",C3:C126)</f>
        <v>0</v>
      </c>
      <c r="I8" s="3" t="s">
        <v>9</v>
      </c>
      <c r="J8" s="7">
        <f>SUMIF($D$3:$D$126,"生活費",$E$3:$E$126)</f>
        <v>0</v>
      </c>
    </row>
    <row r="9" spans="1:10">
      <c r="A9" s="1"/>
      <c r="B9" s="6"/>
      <c r="C9" s="5"/>
      <c r="D9" s="6"/>
      <c r="E9" s="4"/>
      <c r="G9" s="3" t="s">
        <v>16</v>
      </c>
      <c r="H9" s="7">
        <f>SUMIF(B3:B126,"自己研鑽費",C3:C126)</f>
        <v>0</v>
      </c>
      <c r="I9" s="3" t="s">
        <v>13</v>
      </c>
      <c r="J9" s="7">
        <f>SUMIF($D$3:$D$126,"雑益",$E$3:$E$126)</f>
        <v>0</v>
      </c>
    </row>
    <row r="10" spans="1:10">
      <c r="A10" s="1"/>
      <c r="B10" s="6"/>
      <c r="C10" s="5"/>
      <c r="D10" s="6"/>
      <c r="E10" s="4"/>
      <c r="G10" s="3" t="s">
        <v>17</v>
      </c>
      <c r="H10" s="7">
        <f>SUMIF(B3:B126,"会社立替費",C3:C126)</f>
        <v>0</v>
      </c>
      <c r="I10" s="3" t="s">
        <v>14</v>
      </c>
      <c r="J10" s="7">
        <f>SUMIF($D$3:$D$126,"クレジット",$E$3:$E$126)</f>
        <v>0</v>
      </c>
    </row>
    <row r="11" spans="1:10">
      <c r="A11" s="1"/>
      <c r="B11" s="6"/>
      <c r="C11" s="5"/>
      <c r="D11" s="6"/>
      <c r="E11" s="4"/>
      <c r="G11" s="3" t="s">
        <v>19</v>
      </c>
      <c r="H11" s="7">
        <f>SUMIF(B4:B127,"当座預金",C4:C127)</f>
        <v>0</v>
      </c>
      <c r="I11" s="3" t="s">
        <v>19</v>
      </c>
      <c r="J11" s="7">
        <f>SUMIF($D$3:$D$126,"当座預金",$E$3:$E$126)</f>
        <v>0</v>
      </c>
    </row>
    <row r="12" spans="1:10">
      <c r="A12" s="1"/>
      <c r="B12" s="6"/>
      <c r="C12" s="5"/>
      <c r="D12" s="6"/>
      <c r="E12" s="4"/>
      <c r="G12" s="3" t="s">
        <v>27</v>
      </c>
      <c r="H12" s="7">
        <f>SUMIF($B$3:$B$128,"医療費",$C$3:$C$128)</f>
        <v>0</v>
      </c>
    </row>
    <row r="13" spans="1:10">
      <c r="A13" s="1"/>
      <c r="B13" s="6"/>
      <c r="C13" s="5"/>
      <c r="D13" s="6"/>
      <c r="E13" s="4"/>
      <c r="G13" s="3" t="s">
        <v>28</v>
      </c>
      <c r="H13" s="7">
        <f>SUMIF($B$3:$B$128,"備品費",$C$3:$C$128)</f>
        <v>0</v>
      </c>
    </row>
    <row r="14" spans="1:10">
      <c r="A14" s="1"/>
      <c r="B14" s="6"/>
      <c r="C14" s="5"/>
      <c r="D14" s="6"/>
      <c r="E14" s="4"/>
      <c r="G14" s="3" t="s">
        <v>33</v>
      </c>
      <c r="H14" s="7">
        <f>SUMIF($B$3:$B$128,OR("家賃料","駐輪場代"),$C$3:$C$128)</f>
        <v>0</v>
      </c>
    </row>
    <row r="15" spans="1:10">
      <c r="A15" s="1"/>
      <c r="B15" s="6"/>
      <c r="C15" s="5"/>
      <c r="D15" s="6"/>
      <c r="E15" s="4"/>
      <c r="G15" s="3" t="s">
        <v>34</v>
      </c>
      <c r="H15" s="7">
        <f>SUMIF($B$3:$B$128,"水道料金",$C$3:$C$128)</f>
        <v>0</v>
      </c>
    </row>
    <row r="16" spans="1:10">
      <c r="A16" s="1"/>
      <c r="B16" s="6"/>
      <c r="C16" s="5"/>
      <c r="D16" s="6"/>
      <c r="E16" s="4"/>
      <c r="G16" s="3" t="s">
        <v>35</v>
      </c>
      <c r="H16" s="7">
        <f>SUMIF($B$3:$B$128,"電気料金",$C$3:$C$128)</f>
        <v>0</v>
      </c>
    </row>
    <row r="17" spans="1:14">
      <c r="A17" s="1"/>
      <c r="B17" s="6"/>
      <c r="C17" s="5"/>
      <c r="D17" s="6"/>
      <c r="E17" s="4"/>
      <c r="G17" s="3" t="s">
        <v>32</v>
      </c>
      <c r="H17" s="7">
        <f>SUMIF($B$3:$B$128,"ガス料金",$C$3:$C$128)</f>
        <v>0</v>
      </c>
    </row>
    <row r="18" spans="1:14">
      <c r="A18" s="1"/>
      <c r="B18" s="6"/>
      <c r="C18" s="5"/>
      <c r="D18" s="6"/>
      <c r="E18" s="4"/>
      <c r="G18" s="42" t="s">
        <v>31</v>
      </c>
      <c r="H18" s="7">
        <f>SUMIF($B$3:$B$129,"交際費",$C$3:$C$129)</f>
        <v>0</v>
      </c>
    </row>
    <row r="19" spans="1:14">
      <c r="A19" s="1"/>
      <c r="B19" s="6"/>
      <c r="C19" s="5"/>
      <c r="D19" s="6"/>
      <c r="E19" s="4"/>
      <c r="G19" s="42" t="s">
        <v>61</v>
      </c>
      <c r="H19" s="7">
        <f>SUMIF($B$3:$B$129,"雑費",$C$3:$C$129)</f>
        <v>0</v>
      </c>
    </row>
    <row r="20" spans="1:14" ht="19.5" thickBot="1">
      <c r="A20" s="1"/>
      <c r="B20" s="6"/>
      <c r="C20" s="5"/>
      <c r="D20" s="6"/>
      <c r="E20" s="4"/>
    </row>
    <row r="21" spans="1:14" ht="19.5" thickBot="1">
      <c r="A21" s="43"/>
      <c r="B21" s="6"/>
      <c r="C21" s="5"/>
      <c r="D21" s="6"/>
      <c r="E21" s="4"/>
      <c r="L21" s="15" t="s">
        <v>93</v>
      </c>
    </row>
    <row r="22" spans="1:14" ht="19.5" thickBot="1">
      <c r="A22" s="1"/>
      <c r="B22" s="6"/>
      <c r="C22" s="5"/>
      <c r="D22" s="6"/>
      <c r="E22" s="4"/>
      <c r="G22" s="17" t="s">
        <v>18</v>
      </c>
      <c r="L22" s="72" t="s">
        <v>89</v>
      </c>
      <c r="M22" s="73"/>
      <c r="N22" s="84">
        <f>'4月'!N25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'4月'!N29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4"/>
      <c r="G33" s="46" t="s">
        <v>33</v>
      </c>
      <c r="H33" s="45">
        <f>H14</f>
        <v>0</v>
      </c>
      <c r="I33" s="10"/>
    </row>
    <row r="34" spans="1:9">
      <c r="A34" s="1"/>
      <c r="B34" s="6"/>
      <c r="C34" s="5"/>
      <c r="D34" s="6"/>
      <c r="E34" s="4"/>
      <c r="F34" s="44"/>
      <c r="G34" s="83" t="s">
        <v>34</v>
      </c>
      <c r="H34" s="45">
        <f>H15</f>
        <v>0</v>
      </c>
      <c r="I34" s="10"/>
    </row>
    <row r="35" spans="1:9">
      <c r="A35" s="1"/>
      <c r="B35" s="6"/>
      <c r="C35" s="5"/>
      <c r="D35" s="6"/>
      <c r="E35" s="4"/>
      <c r="F35" s="44"/>
      <c r="G35" s="83" t="s">
        <v>35</v>
      </c>
      <c r="H35" s="45">
        <f>H16</f>
        <v>0</v>
      </c>
      <c r="I35" s="10"/>
    </row>
    <row r="36" spans="1:9">
      <c r="A36" s="1"/>
      <c r="B36" s="6"/>
      <c r="C36" s="5"/>
      <c r="D36" s="6"/>
      <c r="E36" s="4"/>
      <c r="F36" s="44"/>
      <c r="G36" s="83" t="s">
        <v>32</v>
      </c>
      <c r="H36" s="45">
        <f t="shared" ref="H36" si="0">H17</f>
        <v>0</v>
      </c>
      <c r="I36" s="10"/>
    </row>
    <row r="37" spans="1:9">
      <c r="A37" s="1"/>
      <c r="B37" s="6"/>
      <c r="C37" s="5"/>
      <c r="D37" s="6"/>
      <c r="E37" s="4"/>
      <c r="F37" s="70"/>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c r="A47" s="1"/>
      <c r="B47" s="6"/>
      <c r="C47" s="5"/>
      <c r="D47" s="6"/>
      <c r="E47" s="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1"/>
      <c r="B126" s="6"/>
      <c r="C126" s="5"/>
      <c r="D126" s="6"/>
      <c r="E126" s="4"/>
    </row>
    <row r="127" spans="1:5">
      <c r="A127" s="2"/>
    </row>
    <row r="128" spans="1:5">
      <c r="A128" s="2"/>
    </row>
    <row r="129" spans="1:1">
      <c r="A129" s="2"/>
    </row>
  </sheetData>
  <mergeCells count="1">
    <mergeCell ref="B1:E1"/>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transcribe">
                <anchor moveWithCells="1" sizeWithCells="1">
                  <from>
                    <xdr:col>10</xdr:col>
                    <xdr:colOff>542925</xdr:colOff>
                    <xdr:row>2</xdr:row>
                    <xdr:rowOff>171450</xdr:rowOff>
                  </from>
                  <to>
                    <xdr:col>13</xdr:col>
                    <xdr:colOff>390525</xdr:colOff>
                    <xdr:row>6</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87635-085A-4781-939A-CEED4779AF33}">
  <sheetPr codeName="Sheet3"/>
  <dimension ref="A1:N130"/>
  <sheetViews>
    <sheetView workbookViewId="0">
      <selection activeCell="A6" sqref="A6"/>
    </sheetView>
  </sheetViews>
  <sheetFormatPr defaultRowHeight="18.75"/>
  <cols>
    <col min="2" max="2" width="10.125" bestFit="1" customWidth="1"/>
    <col min="3" max="3" width="10" bestFit="1" customWidth="1"/>
    <col min="4" max="4" width="10.125" bestFit="1" customWidth="1"/>
    <col min="5" max="5" width="9.5" bestFit="1" customWidth="1"/>
    <col min="7" max="7" width="17.125" customWidth="1"/>
    <col min="9" max="9" width="10.125" bestFit="1" customWidth="1"/>
    <col min="10" max="10" width="9.375" bestFit="1" customWidth="1"/>
    <col min="12" max="12" width="14" bestFit="1" customWidth="1"/>
    <col min="14" max="14" width="10.375" customWidth="1"/>
  </cols>
  <sheetData>
    <row r="1" spans="1:14" ht="19.5" thickBot="1">
      <c r="B1" s="112" t="s">
        <v>0</v>
      </c>
      <c r="C1" s="113"/>
      <c r="D1" s="113"/>
      <c r="E1" s="114"/>
      <c r="G1" s="16" t="s">
        <v>5</v>
      </c>
    </row>
    <row r="2" spans="1:14" s="31" customFormat="1" ht="19.5" thickBot="1">
      <c r="A2" s="115" t="s">
        <v>1</v>
      </c>
      <c r="B2" s="116" t="s">
        <v>3</v>
      </c>
      <c r="C2" s="117" t="s">
        <v>2</v>
      </c>
      <c r="D2" s="116" t="s">
        <v>4</v>
      </c>
      <c r="E2" s="118" t="s">
        <v>2</v>
      </c>
      <c r="G2" s="96" t="s">
        <v>3</v>
      </c>
      <c r="H2" s="97" t="s">
        <v>2</v>
      </c>
      <c r="I2" s="98" t="s">
        <v>4</v>
      </c>
      <c r="J2" s="97" t="s">
        <v>2</v>
      </c>
      <c r="K2"/>
      <c r="L2"/>
      <c r="M2"/>
      <c r="N2"/>
    </row>
    <row r="3" spans="1:14">
      <c r="A3" s="103"/>
      <c r="B3" s="51"/>
      <c r="C3" s="104"/>
      <c r="D3" s="51"/>
      <c r="E3" s="65"/>
      <c r="G3" s="94" t="s">
        <v>6</v>
      </c>
      <c r="H3" s="95">
        <f>SUMIF(B3:B125,"現金",C3:C125)</f>
        <v>0</v>
      </c>
      <c r="I3" s="94" t="s">
        <v>6</v>
      </c>
      <c r="J3" s="95">
        <f>SUMIF($D$3:$D$125,"現金",$E$3:$E$125)</f>
        <v>0</v>
      </c>
    </row>
    <row r="4" spans="1:14">
      <c r="A4" s="1"/>
      <c r="B4" s="6"/>
      <c r="C4" s="5"/>
      <c r="D4" s="6"/>
      <c r="E4" s="4"/>
      <c r="G4" s="3" t="s">
        <v>8</v>
      </c>
      <c r="H4" s="7">
        <f>SUMIF($B$3:$B$125,"食費",$C$3:$C$125)</f>
        <v>0</v>
      </c>
      <c r="I4" s="3" t="s">
        <v>11</v>
      </c>
      <c r="J4" s="7">
        <f>SUMIF($D$3:$D$125,"給料",$E$3:$E$125)</f>
        <v>0</v>
      </c>
    </row>
    <row r="5" spans="1:14">
      <c r="A5" s="1"/>
      <c r="B5" s="6"/>
      <c r="C5" s="5"/>
      <c r="D5" s="6"/>
      <c r="E5" s="4"/>
      <c r="G5" s="3" t="s">
        <v>9</v>
      </c>
      <c r="H5" s="7">
        <f>SUMIF(B3:B125,"生活費",C3:C125)</f>
        <v>0</v>
      </c>
      <c r="I5" s="3" t="s">
        <v>12</v>
      </c>
      <c r="J5" s="7">
        <f>SUMIF($D$3:$D$125,"売上金",$E$3:$E$125)</f>
        <v>0</v>
      </c>
    </row>
    <row r="6" spans="1:14">
      <c r="A6" s="1"/>
      <c r="B6" s="6"/>
      <c r="C6" s="5"/>
      <c r="D6" s="6"/>
      <c r="E6" s="4"/>
      <c r="G6" s="3" t="s">
        <v>7</v>
      </c>
      <c r="H6" s="7">
        <f>SUMIF(B3:B125,"交通費",C3:C125)</f>
        <v>0</v>
      </c>
      <c r="I6" s="3" t="s">
        <v>8</v>
      </c>
      <c r="J6" s="7">
        <f>SUMIF($D$3:$D$125,"食費",$E$3:$E$125)</f>
        <v>0</v>
      </c>
    </row>
    <row r="7" spans="1:14">
      <c r="A7" s="1"/>
      <c r="B7" s="6"/>
      <c r="C7" s="5"/>
      <c r="D7" s="6"/>
      <c r="E7" s="4"/>
      <c r="G7" s="3" t="s">
        <v>15</v>
      </c>
      <c r="H7" s="7">
        <f>SUMIF(B3:B125,"娯楽費",C3:C125)</f>
        <v>0</v>
      </c>
      <c r="I7" s="3" t="s">
        <v>7</v>
      </c>
      <c r="J7" s="7">
        <f>SUMIF($D$3:$D$125,"交通費",$E$3:$E$125)</f>
        <v>0</v>
      </c>
    </row>
    <row r="8" spans="1:14">
      <c r="A8" s="1"/>
      <c r="B8" s="6"/>
      <c r="C8" s="5"/>
      <c r="D8" s="6"/>
      <c r="E8" s="4"/>
      <c r="G8" s="3" t="s">
        <v>10</v>
      </c>
      <c r="H8" s="7">
        <f>SUMIF(B3:B125,"携帯電話料金",C3:C125)</f>
        <v>0</v>
      </c>
      <c r="I8" s="3" t="s">
        <v>9</v>
      </c>
      <c r="J8" s="7">
        <f>SUMIF($D$3:$D$125,"生活費",$E$3:$E$125)</f>
        <v>0</v>
      </c>
    </row>
    <row r="9" spans="1:14">
      <c r="A9" s="1"/>
      <c r="B9" s="6"/>
      <c r="C9" s="5"/>
      <c r="D9" s="6"/>
      <c r="E9" s="4"/>
      <c r="G9" s="3" t="s">
        <v>16</v>
      </c>
      <c r="H9" s="7">
        <f>SUMIF(B3:B125,"自己研鑽費",C3:C125)</f>
        <v>0</v>
      </c>
      <c r="I9" s="3" t="s">
        <v>13</v>
      </c>
      <c r="J9" s="7">
        <f>SUMIF($D$3:$D$125,"雑益",$E$3:$E$125)</f>
        <v>0</v>
      </c>
    </row>
    <row r="10" spans="1:14">
      <c r="A10" s="1"/>
      <c r="B10" s="6"/>
      <c r="C10" s="5"/>
      <c r="D10" s="6"/>
      <c r="E10" s="4"/>
      <c r="G10" s="3" t="s">
        <v>17</v>
      </c>
      <c r="H10" s="7">
        <f>SUMIF(B3:B125,"会社立替費",C3:C125)</f>
        <v>0</v>
      </c>
      <c r="I10" s="3" t="s">
        <v>14</v>
      </c>
      <c r="J10" s="7">
        <f>SUMIF($D$3:$D$125,"クレジット",$E$3:$E$125)</f>
        <v>0</v>
      </c>
    </row>
    <row r="11" spans="1:14">
      <c r="A11" s="1"/>
      <c r="B11" s="6"/>
      <c r="C11" s="5"/>
      <c r="D11" s="6"/>
      <c r="E11" s="4"/>
      <c r="G11" s="3" t="s">
        <v>19</v>
      </c>
      <c r="H11" s="7">
        <f>SUMIF(B4:B126,"当座預金",C4:C126)</f>
        <v>0</v>
      </c>
      <c r="I11" s="3" t="s">
        <v>19</v>
      </c>
      <c r="J11" s="7">
        <f>SUMIF($D$3:$D$125,"当座預金",$E$3:$E$125)</f>
        <v>0</v>
      </c>
    </row>
    <row r="12" spans="1:14">
      <c r="A12" s="1"/>
      <c r="B12" s="6"/>
      <c r="C12" s="5"/>
      <c r="D12" s="6"/>
      <c r="E12" s="4"/>
      <c r="G12" s="3" t="s">
        <v>27</v>
      </c>
      <c r="H12" s="7">
        <f>SUMIF($B$3:$B$127,"医療費",$C$3:$C$127)</f>
        <v>0</v>
      </c>
    </row>
    <row r="13" spans="1:14">
      <c r="A13" s="1"/>
      <c r="B13" s="6"/>
      <c r="C13" s="5"/>
      <c r="D13" s="6"/>
      <c r="E13" s="4"/>
      <c r="G13" s="3" t="s">
        <v>28</v>
      </c>
      <c r="H13" s="7">
        <f>SUMIF($B$3:$B$127,"備品費",$C$3:$C$127)</f>
        <v>0</v>
      </c>
    </row>
    <row r="14" spans="1:14">
      <c r="A14" s="1"/>
      <c r="B14" s="6"/>
      <c r="C14" s="5"/>
      <c r="D14" s="6"/>
      <c r="E14" s="4"/>
      <c r="G14" s="3" t="s">
        <v>33</v>
      </c>
      <c r="H14" s="7">
        <f>SUMIF($B$3:$B$127,OR("家賃料","駐輪場代"),$C$3:$C$127)</f>
        <v>0</v>
      </c>
    </row>
    <row r="15" spans="1:14">
      <c r="A15" s="1"/>
      <c r="B15" s="6"/>
      <c r="C15" s="5"/>
      <c r="D15" s="6"/>
      <c r="E15" s="4"/>
      <c r="G15" s="3" t="s">
        <v>34</v>
      </c>
      <c r="H15" s="7">
        <f>SUMIF($B$3:$B$127,"水道料金",$C$3:$C$127)</f>
        <v>0</v>
      </c>
    </row>
    <row r="16" spans="1:14">
      <c r="A16" s="1"/>
      <c r="B16" s="6"/>
      <c r="C16" s="5"/>
      <c r="D16" s="6"/>
      <c r="E16" s="4"/>
      <c r="G16" s="3" t="s">
        <v>35</v>
      </c>
      <c r="H16" s="7">
        <f>SUMIF($B$3:$B$127,"電気料金",$C$3:$C$127)</f>
        <v>0</v>
      </c>
    </row>
    <row r="17" spans="1:14">
      <c r="A17" s="1"/>
      <c r="B17" s="6"/>
      <c r="C17" s="5"/>
      <c r="D17" s="6"/>
      <c r="E17" s="4"/>
      <c r="G17" s="3" t="s">
        <v>32</v>
      </c>
      <c r="H17" s="7">
        <f>SUMIF($B$3:$B$127,"ガス料金",$C$3:$C$127)</f>
        <v>0</v>
      </c>
    </row>
    <row r="18" spans="1:14">
      <c r="A18" s="1"/>
      <c r="B18" s="6"/>
      <c r="C18" s="5"/>
      <c r="D18" s="6"/>
      <c r="E18" s="4"/>
      <c r="G18" s="42" t="s">
        <v>31</v>
      </c>
      <c r="H18" s="7">
        <f>SUMIF($B$3:$B$128,"交際費",$C$3:$C$128)</f>
        <v>0</v>
      </c>
    </row>
    <row r="19" spans="1:14">
      <c r="A19" s="1"/>
      <c r="B19" s="6"/>
      <c r="C19" s="5"/>
      <c r="D19" s="6"/>
      <c r="E19" s="4"/>
      <c r="G19" s="42" t="s">
        <v>61</v>
      </c>
      <c r="H19" s="7">
        <f>SUMIF($B$3:$B$129,"雑費",$C$3:$C$129)</f>
        <v>0</v>
      </c>
    </row>
    <row r="20" spans="1:14" ht="19.5" thickBot="1">
      <c r="A20" s="1"/>
      <c r="B20" s="6"/>
      <c r="C20" s="5"/>
      <c r="D20" s="6"/>
      <c r="E20" s="4"/>
    </row>
    <row r="21" spans="1:14" ht="19.5" thickBot="1">
      <c r="A21" s="43"/>
      <c r="B21" s="39"/>
      <c r="C21" s="5"/>
      <c r="D21" s="6"/>
      <c r="E21" s="4"/>
      <c r="L21" s="15" t="s">
        <v>93</v>
      </c>
    </row>
    <row r="22" spans="1:14" ht="19.5" thickBot="1">
      <c r="A22" s="1"/>
      <c r="B22" s="6"/>
      <c r="C22" s="5"/>
      <c r="D22" s="6"/>
      <c r="E22" s="4"/>
      <c r="G22" s="17" t="s">
        <v>18</v>
      </c>
      <c r="L22" s="72" t="s">
        <v>89</v>
      </c>
      <c r="M22" s="73"/>
      <c r="N22" s="84">
        <f>'5月'!N25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'5月'!N29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4"/>
      <c r="G33" s="46" t="s">
        <v>33</v>
      </c>
      <c r="H33" s="45">
        <f>H14</f>
        <v>0</v>
      </c>
      <c r="I33" s="10"/>
    </row>
    <row r="34" spans="1:9">
      <c r="A34" s="1"/>
      <c r="B34" s="6"/>
      <c r="C34" s="5"/>
      <c r="D34" s="6"/>
      <c r="E34" s="4"/>
      <c r="F34" s="44"/>
      <c r="G34" s="83" t="s">
        <v>34</v>
      </c>
      <c r="H34" s="45">
        <f>H15</f>
        <v>0</v>
      </c>
      <c r="I34" s="10"/>
    </row>
    <row r="35" spans="1:9">
      <c r="A35" s="1"/>
      <c r="B35" s="6"/>
      <c r="C35" s="5"/>
      <c r="D35" s="6"/>
      <c r="E35" s="4"/>
      <c r="F35" s="44"/>
      <c r="G35" s="83" t="s">
        <v>35</v>
      </c>
      <c r="H35" s="45">
        <f>H16</f>
        <v>0</v>
      </c>
      <c r="I35" s="10"/>
    </row>
    <row r="36" spans="1:9">
      <c r="A36" s="1"/>
      <c r="B36" s="6"/>
      <c r="C36" s="5"/>
      <c r="D36" s="6"/>
      <c r="E36" s="4"/>
      <c r="F36" s="44"/>
      <c r="G36" s="83" t="s">
        <v>32</v>
      </c>
      <c r="H36" s="45">
        <f t="shared" ref="H36" si="0">H17</f>
        <v>0</v>
      </c>
      <c r="I36" s="10"/>
    </row>
    <row r="37" spans="1:9">
      <c r="A37" s="1"/>
      <c r="B37" s="6"/>
      <c r="C37" s="5"/>
      <c r="D37" s="6"/>
      <c r="E37" s="4"/>
      <c r="F37" s="44"/>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c r="A47" s="1"/>
      <c r="B47" s="6"/>
      <c r="C47" s="5"/>
      <c r="D47" s="6"/>
      <c r="E47" s="4"/>
    </row>
    <row r="48" spans="1:9">
      <c r="A48" s="1"/>
      <c r="B48" s="6"/>
      <c r="C48" s="5"/>
      <c r="D48" s="6"/>
      <c r="E48" s="4"/>
    </row>
    <row r="49" spans="1:11">
      <c r="A49" s="1"/>
      <c r="B49" s="6"/>
      <c r="C49" s="5"/>
      <c r="D49" s="6"/>
      <c r="E49" s="4"/>
    </row>
    <row r="50" spans="1:11">
      <c r="A50" s="1"/>
      <c r="B50" s="6"/>
      <c r="C50" s="5"/>
      <c r="D50" s="6"/>
      <c r="E50" s="4"/>
    </row>
    <row r="51" spans="1:11">
      <c r="A51" s="1"/>
      <c r="B51" s="6"/>
      <c r="C51" s="5"/>
      <c r="D51" s="6"/>
      <c r="E51" s="4"/>
    </row>
    <row r="52" spans="1:11">
      <c r="A52" s="1"/>
      <c r="B52" s="6"/>
      <c r="C52" s="5"/>
      <c r="D52" s="6"/>
      <c r="E52" s="4"/>
      <c r="J52" s="36"/>
    </row>
    <row r="53" spans="1:11">
      <c r="A53" s="1"/>
      <c r="B53" s="6"/>
      <c r="C53" s="5"/>
      <c r="D53" s="6"/>
      <c r="E53" s="4"/>
    </row>
    <row r="54" spans="1:11">
      <c r="A54" s="1"/>
      <c r="B54" s="6"/>
      <c r="C54" s="5"/>
      <c r="D54" s="6"/>
      <c r="E54" s="4"/>
      <c r="K54" s="36"/>
    </row>
    <row r="55" spans="1:11">
      <c r="A55" s="1"/>
      <c r="B55" s="6"/>
      <c r="C55" s="5"/>
      <c r="D55" s="6"/>
      <c r="E55" s="4"/>
    </row>
    <row r="56" spans="1:11">
      <c r="A56" s="1"/>
      <c r="B56" s="6"/>
      <c r="C56" s="5"/>
      <c r="D56" s="6"/>
      <c r="E56" s="4"/>
      <c r="K56" s="36"/>
    </row>
    <row r="57" spans="1:11">
      <c r="A57" s="1"/>
      <c r="B57" s="6"/>
      <c r="C57" s="5"/>
      <c r="D57" s="6"/>
      <c r="E57" s="4"/>
    </row>
    <row r="58" spans="1:11">
      <c r="A58" s="1"/>
      <c r="B58" s="6"/>
      <c r="C58" s="5"/>
      <c r="D58" s="6"/>
      <c r="E58" s="4"/>
    </row>
    <row r="59" spans="1:11">
      <c r="A59" s="1"/>
      <c r="B59" s="6"/>
      <c r="C59" s="5"/>
      <c r="D59" s="6"/>
      <c r="E59" s="4"/>
    </row>
    <row r="60" spans="1:11">
      <c r="A60" s="1"/>
      <c r="B60" s="6"/>
      <c r="C60" s="5"/>
      <c r="D60" s="6"/>
      <c r="E60" s="4"/>
    </row>
    <row r="61" spans="1:11">
      <c r="A61" s="1"/>
      <c r="B61" s="6"/>
      <c r="C61" s="5"/>
      <c r="D61" s="6"/>
      <c r="E61" s="4"/>
    </row>
    <row r="62" spans="1:11">
      <c r="A62" s="1"/>
      <c r="B62" s="6"/>
      <c r="C62" s="5"/>
      <c r="D62" s="6"/>
      <c r="E62" s="4"/>
    </row>
    <row r="63" spans="1:11">
      <c r="A63" s="1"/>
      <c r="B63" s="6"/>
      <c r="C63" s="5"/>
      <c r="D63" s="6"/>
      <c r="E63" s="4"/>
    </row>
    <row r="64" spans="1:11">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1"/>
      <c r="B126" s="6"/>
      <c r="C126" s="5"/>
      <c r="D126" s="6"/>
      <c r="E126" s="4"/>
    </row>
    <row r="127" spans="1:5">
      <c r="A127" s="1"/>
      <c r="B127" s="6"/>
      <c r="C127" s="5"/>
      <c r="D127" s="6"/>
      <c r="E127" s="4"/>
    </row>
    <row r="128" spans="1:5">
      <c r="A128" s="2"/>
    </row>
    <row r="129" spans="1:1">
      <c r="A129" s="2"/>
    </row>
    <row r="130" spans="1:1">
      <c r="A130" s="2"/>
    </row>
  </sheetData>
  <autoFilter ref="A2:E37" xr:uid="{829B04E7-6AFF-42CB-9095-5412BEBD1DD0}"/>
  <dataConsolidate/>
  <mergeCells count="1">
    <mergeCell ref="B1:E1"/>
  </mergeCells>
  <phoneticPr fontId="1"/>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transcribe">
                <anchor moveWithCells="1" sizeWithCells="1">
                  <from>
                    <xdr:col>11</xdr:col>
                    <xdr:colOff>76200</xdr:colOff>
                    <xdr:row>2</xdr:row>
                    <xdr:rowOff>104775</xdr:rowOff>
                  </from>
                  <to>
                    <xdr:col>13</xdr:col>
                    <xdr:colOff>628650</xdr:colOff>
                    <xdr:row>5</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392C3-7D9A-451E-A952-61DBDFD2F267}">
  <sheetPr codeName="Sheet4"/>
  <dimension ref="A1:N128"/>
  <sheetViews>
    <sheetView zoomScaleNormal="100" workbookViewId="0">
      <selection activeCell="A6" sqref="A6"/>
    </sheetView>
  </sheetViews>
  <sheetFormatPr defaultRowHeight="18.75"/>
  <cols>
    <col min="2" max="2" width="10.125" bestFit="1" customWidth="1"/>
    <col min="3" max="3" width="10" bestFit="1" customWidth="1"/>
    <col min="4" max="4" width="10.125" bestFit="1" customWidth="1"/>
    <col min="5" max="5" width="10" bestFit="1" customWidth="1"/>
    <col min="7" max="7" width="17.375" bestFit="1" customWidth="1"/>
    <col min="9" max="9" width="10.125" bestFit="1" customWidth="1"/>
    <col min="12" max="12" width="14" bestFit="1" customWidth="1"/>
    <col min="14" max="14" width="10.625" bestFit="1" customWidth="1"/>
  </cols>
  <sheetData>
    <row r="1" spans="1:10" ht="19.5" thickBot="1">
      <c r="B1" s="112" t="s">
        <v>0</v>
      </c>
      <c r="C1" s="113"/>
      <c r="D1" s="113"/>
      <c r="E1" s="114"/>
      <c r="G1" s="16" t="s">
        <v>5</v>
      </c>
    </row>
    <row r="2" spans="1:10" ht="19.5" thickBot="1">
      <c r="A2" s="115" t="s">
        <v>1</v>
      </c>
      <c r="B2" s="116" t="s">
        <v>3</v>
      </c>
      <c r="C2" s="117" t="s">
        <v>2</v>
      </c>
      <c r="D2" s="116" t="s">
        <v>4</v>
      </c>
      <c r="E2" s="118" t="s">
        <v>2</v>
      </c>
      <c r="G2" s="96" t="s">
        <v>3</v>
      </c>
      <c r="H2" s="97" t="s">
        <v>2</v>
      </c>
      <c r="I2" s="98" t="s">
        <v>4</v>
      </c>
      <c r="J2" s="97" t="s">
        <v>2</v>
      </c>
    </row>
    <row r="3" spans="1:10">
      <c r="A3" s="103"/>
      <c r="B3" s="51"/>
      <c r="C3" s="104"/>
      <c r="D3" s="51"/>
      <c r="E3" s="65"/>
      <c r="G3" s="94" t="s">
        <v>6</v>
      </c>
      <c r="H3" s="95">
        <f>SUMIF(B3:B125,"現金",C3:C125)</f>
        <v>0</v>
      </c>
      <c r="I3" s="94" t="s">
        <v>6</v>
      </c>
      <c r="J3" s="95">
        <f>SUMIF($D$3:$D$125,"現金",$E$3:$E$125)</f>
        <v>0</v>
      </c>
    </row>
    <row r="4" spans="1:10">
      <c r="A4" s="1"/>
      <c r="B4" s="6"/>
      <c r="C4" s="5"/>
      <c r="D4" s="6"/>
      <c r="E4" s="4"/>
      <c r="G4" s="3" t="s">
        <v>8</v>
      </c>
      <c r="H4" s="7">
        <f>SUMIF($B$3:$B$125,"食費",$C$3:$C$125)</f>
        <v>0</v>
      </c>
      <c r="I4" s="3" t="s">
        <v>11</v>
      </c>
      <c r="J4" s="7">
        <f>SUMIF($D$3:$D$125,"給料",$E$3:$E$125)</f>
        <v>0</v>
      </c>
    </row>
    <row r="5" spans="1:10">
      <c r="A5" s="1"/>
      <c r="B5" s="6"/>
      <c r="C5" s="5"/>
      <c r="D5" s="6"/>
      <c r="E5" s="4"/>
      <c r="G5" s="3" t="s">
        <v>9</v>
      </c>
      <c r="H5" s="7">
        <f>SUMIF(B3:B125,"生活費",C3:C125)</f>
        <v>0</v>
      </c>
      <c r="I5" s="3" t="s">
        <v>12</v>
      </c>
      <c r="J5" s="7">
        <f>SUMIF($D$3:$D$125,"売上金",$E$3:$E$125)</f>
        <v>0</v>
      </c>
    </row>
    <row r="6" spans="1:10">
      <c r="A6" s="1"/>
      <c r="B6" s="6"/>
      <c r="C6" s="5"/>
      <c r="D6" s="6"/>
      <c r="E6" s="4"/>
      <c r="G6" s="3" t="s">
        <v>7</v>
      </c>
      <c r="H6" s="7">
        <f>SUMIF(B3:B125,"交通費",C3:C125)</f>
        <v>0</v>
      </c>
      <c r="I6" s="3" t="s">
        <v>8</v>
      </c>
      <c r="J6" s="7">
        <f>SUMIF($D$3:$D$125,"食費",$E$3:$E$125)</f>
        <v>0</v>
      </c>
    </row>
    <row r="7" spans="1:10">
      <c r="A7" s="1"/>
      <c r="B7" s="6"/>
      <c r="C7" s="5"/>
      <c r="D7" s="6"/>
      <c r="E7" s="4"/>
      <c r="G7" s="3" t="s">
        <v>15</v>
      </c>
      <c r="H7" s="7">
        <f>SUMIF(B3:B125,"娯楽費",C3:C125)</f>
        <v>0</v>
      </c>
      <c r="I7" s="3" t="s">
        <v>7</v>
      </c>
      <c r="J7" s="7">
        <f>SUMIF($D$3:$D$125,"交通費",$E$3:$E$125)</f>
        <v>0</v>
      </c>
    </row>
    <row r="8" spans="1:10">
      <c r="A8" s="1"/>
      <c r="B8" s="6"/>
      <c r="C8" s="5"/>
      <c r="D8" s="6"/>
      <c r="E8" s="4"/>
      <c r="G8" s="3" t="s">
        <v>10</v>
      </c>
      <c r="H8" s="7">
        <f>SUMIF(B3:B125,"携帯電話料金",C3:C125)</f>
        <v>0</v>
      </c>
      <c r="I8" s="3" t="s">
        <v>9</v>
      </c>
      <c r="J8" s="7">
        <f>SUMIF($D$3:$D$125,"生活費",$E$3:$E$125)</f>
        <v>0</v>
      </c>
    </row>
    <row r="9" spans="1:10">
      <c r="A9" s="1"/>
      <c r="B9" s="6"/>
      <c r="C9" s="5"/>
      <c r="D9" s="6"/>
      <c r="E9" s="4"/>
      <c r="G9" s="3" t="s">
        <v>16</v>
      </c>
      <c r="H9" s="7">
        <f>SUMIF(B3:B125,"自己研鑽費",C3:C125)</f>
        <v>0</v>
      </c>
      <c r="I9" s="3" t="s">
        <v>13</v>
      </c>
      <c r="J9" s="7">
        <f>SUMIF($D$3:$D$125,"雑益",$E$3:$E$125)</f>
        <v>0</v>
      </c>
    </row>
    <row r="10" spans="1:10">
      <c r="A10" s="1"/>
      <c r="B10" s="6"/>
      <c r="C10" s="5"/>
      <c r="D10" s="6"/>
      <c r="E10" s="4"/>
      <c r="G10" s="3" t="s">
        <v>17</v>
      </c>
      <c r="H10" s="7">
        <f>SUMIF(B3:B125,"会社立替費",C3:C125)</f>
        <v>0</v>
      </c>
      <c r="I10" s="3" t="s">
        <v>14</v>
      </c>
      <c r="J10" s="7">
        <f>SUMIF($D$3:$D$125,"クレジット",$E$3:$E$125)</f>
        <v>0</v>
      </c>
    </row>
    <row r="11" spans="1:10">
      <c r="A11" s="1"/>
      <c r="B11" s="6"/>
      <c r="C11" s="34"/>
      <c r="D11" s="6"/>
      <c r="E11" s="4"/>
      <c r="G11" s="3" t="s">
        <v>19</v>
      </c>
      <c r="H11" s="7">
        <f>SUMIF(B4:B126,"当座預金",C4:C126)</f>
        <v>0</v>
      </c>
      <c r="I11" s="3" t="s">
        <v>19</v>
      </c>
      <c r="J11" s="7">
        <f>SUMIF($D$3:$D$125,"当座預金",$E$3:$E$125)</f>
        <v>0</v>
      </c>
    </row>
    <row r="12" spans="1:10">
      <c r="A12" s="1"/>
      <c r="B12" s="6"/>
      <c r="C12" s="5"/>
      <c r="D12" s="6"/>
      <c r="E12" s="4"/>
      <c r="G12" s="3" t="s">
        <v>27</v>
      </c>
      <c r="H12" s="7">
        <f>SUMIF($B$3:$B$127,"医療費",$C$3:$C$127)</f>
        <v>0</v>
      </c>
    </row>
    <row r="13" spans="1:10">
      <c r="A13" s="1"/>
      <c r="B13" s="6"/>
      <c r="C13" s="5"/>
      <c r="D13" s="6"/>
      <c r="E13" s="4"/>
      <c r="G13" s="3" t="s">
        <v>28</v>
      </c>
      <c r="H13" s="7">
        <f>SUMIF($B$3:$B$127,"備品費",$C$3:$C$127)</f>
        <v>0</v>
      </c>
    </row>
    <row r="14" spans="1:10">
      <c r="A14" s="1"/>
      <c r="B14" s="6"/>
      <c r="C14" s="5"/>
      <c r="D14" s="6"/>
      <c r="E14" s="4"/>
      <c r="G14" s="3" t="s">
        <v>33</v>
      </c>
      <c r="H14" s="7">
        <f>SUMIF($B$3:$B$127,OR("家賃料","駐輪場代"),$C$3:$C$127)</f>
        <v>0</v>
      </c>
    </row>
    <row r="15" spans="1:10">
      <c r="A15" s="1"/>
      <c r="B15" s="6"/>
      <c r="C15" s="5"/>
      <c r="D15" s="6"/>
      <c r="E15" s="4"/>
      <c r="G15" s="3" t="s">
        <v>34</v>
      </c>
      <c r="H15" s="7">
        <f>SUMIF($B$3:$B$127,"水道料金",$C$3:$C$127)</f>
        <v>0</v>
      </c>
    </row>
    <row r="16" spans="1:10">
      <c r="A16" s="1"/>
      <c r="B16" s="6"/>
      <c r="C16" s="5"/>
      <c r="D16" s="6"/>
      <c r="E16" s="4"/>
      <c r="G16" s="3" t="s">
        <v>35</v>
      </c>
      <c r="H16" s="7">
        <f>SUMIF($B$3:$B$127,"電気料金",$C$3:$C$127)</f>
        <v>0</v>
      </c>
    </row>
    <row r="17" spans="1:14">
      <c r="A17" s="1"/>
      <c r="B17" s="6"/>
      <c r="C17" s="5"/>
      <c r="D17" s="6"/>
      <c r="E17" s="4"/>
      <c r="G17" s="3" t="s">
        <v>32</v>
      </c>
      <c r="H17" s="7">
        <f>SUMIF($B$3:$B$127,"ガス料金",$C$3:$C$127)</f>
        <v>0</v>
      </c>
    </row>
    <row r="18" spans="1:14">
      <c r="A18" s="1"/>
      <c r="B18" s="6"/>
      <c r="C18" s="5"/>
      <c r="D18" s="6"/>
      <c r="E18" s="4"/>
      <c r="G18" s="42" t="s">
        <v>31</v>
      </c>
      <c r="H18" s="7">
        <f>SUMIF($B$3:$B$129,"交際費",$C$3:$C$129)</f>
        <v>0</v>
      </c>
    </row>
    <row r="19" spans="1:14">
      <c r="A19" s="1"/>
      <c r="B19" s="6"/>
      <c r="C19" s="5"/>
      <c r="D19" s="6"/>
      <c r="E19" s="4"/>
      <c r="G19" s="42" t="s">
        <v>61</v>
      </c>
      <c r="H19" s="7">
        <f>SUMIF($B$3:$B$129,"雑費",$C$3:$C$129)</f>
        <v>0</v>
      </c>
    </row>
    <row r="20" spans="1:14" ht="19.5" thickBot="1">
      <c r="A20" s="1"/>
      <c r="B20" s="6"/>
      <c r="C20" s="5"/>
      <c r="D20" s="6"/>
      <c r="E20" s="4"/>
    </row>
    <row r="21" spans="1:14" ht="19.5" thickBot="1">
      <c r="A21" s="1"/>
      <c r="B21" s="6"/>
      <c r="C21" s="5"/>
      <c r="D21" s="6"/>
      <c r="E21" s="4"/>
      <c r="L21" s="15" t="s">
        <v>93</v>
      </c>
      <c r="N21" s="88"/>
    </row>
    <row r="22" spans="1:14" ht="19.5" thickBot="1">
      <c r="A22" s="1"/>
      <c r="B22" s="6"/>
      <c r="C22" s="5"/>
      <c r="D22" s="6"/>
      <c r="E22" s="4"/>
      <c r="G22" s="17" t="s">
        <v>18</v>
      </c>
      <c r="L22" s="72" t="s">
        <v>89</v>
      </c>
      <c r="M22" s="73"/>
      <c r="N22" s="123">
        <f>'6月'!N25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'6月'!N29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G33" s="46" t="s">
        <v>33</v>
      </c>
      <c r="H33" s="45">
        <f>H14</f>
        <v>0</v>
      </c>
      <c r="I33" s="10"/>
    </row>
    <row r="34" spans="1:9">
      <c r="A34" s="1"/>
      <c r="B34" s="6"/>
      <c r="C34" s="5"/>
      <c r="D34" s="6"/>
      <c r="E34" s="4"/>
      <c r="G34" s="83" t="s">
        <v>34</v>
      </c>
      <c r="H34" s="45">
        <f>H15</f>
        <v>0</v>
      </c>
      <c r="I34" s="10"/>
    </row>
    <row r="35" spans="1:9">
      <c r="A35" s="1"/>
      <c r="B35" s="6"/>
      <c r="C35" s="5"/>
      <c r="D35" s="6"/>
      <c r="E35" s="4"/>
      <c r="G35" s="83" t="s">
        <v>35</v>
      </c>
      <c r="H35" s="45">
        <f>H16</f>
        <v>0</v>
      </c>
      <c r="I35" s="10"/>
    </row>
    <row r="36" spans="1:9">
      <c r="A36" s="1"/>
      <c r="B36" s="6"/>
      <c r="C36" s="5"/>
      <c r="D36" s="6"/>
      <c r="E36" s="4"/>
      <c r="G36" s="83" t="s">
        <v>32</v>
      </c>
      <c r="H36" s="45">
        <f t="shared" ref="H36" si="0">H17</f>
        <v>0</v>
      </c>
      <c r="I36" s="10"/>
    </row>
    <row r="37" spans="1:9">
      <c r="A37" s="1"/>
      <c r="B37" s="6"/>
      <c r="C37" s="5"/>
      <c r="D37" s="6"/>
      <c r="E37" s="4"/>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c r="A47" s="1"/>
      <c r="B47" s="6"/>
      <c r="C47" s="5"/>
      <c r="D47" s="6"/>
      <c r="E47" s="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2"/>
    </row>
    <row r="127" spans="1:5">
      <c r="A127" s="2"/>
    </row>
    <row r="128" spans="1:5">
      <c r="A128" s="2"/>
    </row>
  </sheetData>
  <autoFilter ref="A2:E2" xr:uid="{5728A45D-40D3-BD4F-818A-7A6CDBF42285}"/>
  <mergeCells count="1">
    <mergeCell ref="B1:E1"/>
  </mergeCells>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transcribe">
                <anchor moveWithCells="1" sizeWithCells="1">
                  <from>
                    <xdr:col>11</xdr:col>
                    <xdr:colOff>104775</xdr:colOff>
                    <xdr:row>3</xdr:row>
                    <xdr:rowOff>200025</xdr:rowOff>
                  </from>
                  <to>
                    <xdr:col>13</xdr:col>
                    <xdr:colOff>752475</xdr:colOff>
                    <xdr:row>7</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513FC-B380-437C-9F8E-D15462F2EC52}">
  <sheetPr codeName="Sheet5"/>
  <dimension ref="A1:N128"/>
  <sheetViews>
    <sheetView workbookViewId="0">
      <selection activeCell="A6" sqref="A6"/>
    </sheetView>
  </sheetViews>
  <sheetFormatPr defaultRowHeight="18.75"/>
  <cols>
    <col min="2" max="2" width="10.125" bestFit="1" customWidth="1"/>
    <col min="3" max="3" width="11.375" bestFit="1" customWidth="1"/>
    <col min="4" max="4" width="10.125" bestFit="1" customWidth="1"/>
    <col min="5" max="5" width="11.375" bestFit="1" customWidth="1"/>
    <col min="6" max="6" width="5.375" customWidth="1"/>
    <col min="7" max="7" width="17.375" bestFit="1" customWidth="1"/>
    <col min="8" max="8" width="10" bestFit="1" customWidth="1"/>
    <col min="9" max="9" width="10.875" bestFit="1" customWidth="1"/>
    <col min="10" max="10" width="10" bestFit="1" customWidth="1"/>
    <col min="12" max="12" width="14" bestFit="1" customWidth="1"/>
    <col min="13" max="13" width="10" bestFit="1" customWidth="1"/>
    <col min="14" max="14" width="10.875" bestFit="1" customWidth="1"/>
  </cols>
  <sheetData>
    <row r="1" spans="1:10" ht="19.5" thickBot="1">
      <c r="B1" s="112" t="s">
        <v>0</v>
      </c>
      <c r="C1" s="113"/>
      <c r="D1" s="113"/>
      <c r="E1" s="114"/>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SUMIF(B3:B126,"現金",C3:C126)</f>
        <v>0</v>
      </c>
      <c r="I3" s="94" t="s">
        <v>6</v>
      </c>
      <c r="J3" s="95">
        <f>SUMIF($D$3:$D$126,"現金",$E$3:$E$126)</f>
        <v>0</v>
      </c>
    </row>
    <row r="4" spans="1:10">
      <c r="A4" s="1"/>
      <c r="B4" s="6"/>
      <c r="C4" s="5"/>
      <c r="D4" s="6"/>
      <c r="E4" s="4"/>
      <c r="G4" s="3" t="s">
        <v>8</v>
      </c>
      <c r="H4" s="7">
        <f>SUMIF($B$3:$B$126,"食費",$C$3:$C$126)</f>
        <v>0</v>
      </c>
      <c r="I4" s="3" t="s">
        <v>11</v>
      </c>
      <c r="J4" s="7">
        <f>SUMIF($D$3:$D$126,"給料",$E$3:$E$126)</f>
        <v>0</v>
      </c>
    </row>
    <row r="5" spans="1:10">
      <c r="A5" s="1"/>
      <c r="B5" s="6"/>
      <c r="C5" s="5"/>
      <c r="D5" s="6"/>
      <c r="E5" s="4"/>
      <c r="G5" s="3" t="s">
        <v>9</v>
      </c>
      <c r="H5" s="7">
        <f>SUMIF(B3:B126,"生活費",C3:C126)</f>
        <v>0</v>
      </c>
      <c r="I5" s="3" t="s">
        <v>12</v>
      </c>
      <c r="J5" s="7">
        <f>SUMIF($D$3:$D$126,"売上金",$E$3:$E$126)</f>
        <v>0</v>
      </c>
    </row>
    <row r="6" spans="1:10">
      <c r="A6" s="1"/>
      <c r="B6" s="6"/>
      <c r="C6" s="5"/>
      <c r="D6" s="6"/>
      <c r="E6" s="4"/>
      <c r="G6" s="3" t="s">
        <v>7</v>
      </c>
      <c r="H6" s="7">
        <f>SUMIF(B3:B126,"交通費",C3:C126)</f>
        <v>0</v>
      </c>
      <c r="I6" s="3" t="s">
        <v>8</v>
      </c>
      <c r="J6" s="7">
        <f>SUMIF($D$3:$D$126,"食費",$E$3:$E$126)</f>
        <v>0</v>
      </c>
    </row>
    <row r="7" spans="1:10">
      <c r="A7" s="1"/>
      <c r="B7" s="6"/>
      <c r="C7" s="5"/>
      <c r="D7" s="6"/>
      <c r="E7" s="4"/>
      <c r="G7" s="3" t="s">
        <v>15</v>
      </c>
      <c r="H7" s="7">
        <f>SUMIF(B3:B126,"娯楽費",C3:C126)</f>
        <v>0</v>
      </c>
      <c r="I7" s="3" t="s">
        <v>7</v>
      </c>
      <c r="J7" s="7">
        <f>SUMIF($D$3:$D$126,"交通費",$E$3:$E$126)</f>
        <v>0</v>
      </c>
    </row>
    <row r="8" spans="1:10">
      <c r="A8" s="1"/>
      <c r="B8" s="6"/>
      <c r="C8" s="5"/>
      <c r="D8" s="6"/>
      <c r="E8" s="4"/>
      <c r="G8" s="3" t="s">
        <v>10</v>
      </c>
      <c r="H8" s="7">
        <f>SUMIF(B3:B126,"携帯電話料金",C3:C126)</f>
        <v>0</v>
      </c>
      <c r="I8" s="3" t="s">
        <v>9</v>
      </c>
      <c r="J8" s="7">
        <f>SUMIF($D$3:$D$126,"生活費",$E$3:$E$126)</f>
        <v>0</v>
      </c>
    </row>
    <row r="9" spans="1:10">
      <c r="A9" s="1"/>
      <c r="B9" s="6"/>
      <c r="C9" s="5"/>
      <c r="D9" s="6"/>
      <c r="E9" s="4"/>
      <c r="G9" s="3" t="s">
        <v>16</v>
      </c>
      <c r="H9" s="7">
        <f>SUMIF(B3:B126,"自己研鑽費",C3:C126)</f>
        <v>0</v>
      </c>
      <c r="I9" s="3" t="s">
        <v>13</v>
      </c>
      <c r="J9" s="7">
        <f>SUMIF($D$3:$D$126,"雑益",$E$3:$E$126)</f>
        <v>0</v>
      </c>
    </row>
    <row r="10" spans="1:10">
      <c r="A10" s="1"/>
      <c r="B10" s="6"/>
      <c r="C10" s="5"/>
      <c r="D10" s="6"/>
      <c r="E10" s="4"/>
      <c r="G10" s="3" t="s">
        <v>17</v>
      </c>
      <c r="H10" s="7">
        <f>SUMIF(B3:B126,"会社立替費",C3:C126)</f>
        <v>0</v>
      </c>
      <c r="I10" s="3" t="s">
        <v>14</v>
      </c>
      <c r="J10" s="7">
        <f>SUMIF($D$3:$D$126,"クレジット",$E$3:$E$126)</f>
        <v>0</v>
      </c>
    </row>
    <row r="11" spans="1:10">
      <c r="A11" s="1"/>
      <c r="B11" s="6"/>
      <c r="C11" s="5"/>
      <c r="D11" s="6"/>
      <c r="E11" s="4"/>
      <c r="G11" s="3" t="s">
        <v>19</v>
      </c>
      <c r="H11" s="7">
        <f>SUMIF(B4:B127,"当座預金",C4:C127)</f>
        <v>0</v>
      </c>
      <c r="I11" s="3" t="s">
        <v>19</v>
      </c>
      <c r="J11" s="7">
        <f>SUMIF($D$3:$D$126,"当座預金",$E$3:$E$126)</f>
        <v>0</v>
      </c>
    </row>
    <row r="12" spans="1:10">
      <c r="A12" s="1"/>
      <c r="B12" s="6"/>
      <c r="C12" s="5"/>
      <c r="D12" s="6"/>
      <c r="E12" s="4"/>
      <c r="G12" s="3" t="s">
        <v>27</v>
      </c>
      <c r="H12" s="7">
        <f>SUMIF($B$3:$B$128,"医療費",$C$3:$C$128)</f>
        <v>0</v>
      </c>
    </row>
    <row r="13" spans="1:10">
      <c r="A13" s="1"/>
      <c r="B13" s="6"/>
      <c r="C13" s="5"/>
      <c r="D13" s="6"/>
      <c r="E13" s="4"/>
      <c r="G13" s="3" t="s">
        <v>28</v>
      </c>
      <c r="H13" s="7">
        <f>SUMIF($B$3:$B$128,"備品費",$C$3:$C$128)</f>
        <v>0</v>
      </c>
    </row>
    <row r="14" spans="1:10">
      <c r="A14" s="1"/>
      <c r="B14" s="6"/>
      <c r="C14" s="5"/>
      <c r="D14" s="6"/>
      <c r="E14" s="4"/>
      <c r="G14" s="3" t="s">
        <v>33</v>
      </c>
      <c r="H14" s="7">
        <f>SUMIF($B$3:$B$128,OR("家賃料","駐輪場代"),$C$3:$C$128)</f>
        <v>0</v>
      </c>
    </row>
    <row r="15" spans="1:10">
      <c r="A15" s="1"/>
      <c r="B15" s="6"/>
      <c r="C15" s="5"/>
      <c r="D15" s="6"/>
      <c r="E15" s="4"/>
      <c r="G15" s="3" t="s">
        <v>34</v>
      </c>
      <c r="H15" s="7">
        <f>SUMIF($B$3:$B$128,"水道料金",$C$3:$C$128)</f>
        <v>0</v>
      </c>
    </row>
    <row r="16" spans="1:10">
      <c r="A16" s="1"/>
      <c r="B16" s="6"/>
      <c r="C16" s="5"/>
      <c r="D16" s="6"/>
      <c r="E16" s="4"/>
      <c r="G16" s="3" t="s">
        <v>35</v>
      </c>
      <c r="H16" s="7">
        <f>SUMIF($B$3:$B$128,"電気料金",$C$3:$C$128)</f>
        <v>0</v>
      </c>
    </row>
    <row r="17" spans="1:14">
      <c r="A17" s="1"/>
      <c r="B17" s="6"/>
      <c r="C17" s="5"/>
      <c r="D17" s="6"/>
      <c r="E17" s="4"/>
      <c r="G17" s="3" t="s">
        <v>32</v>
      </c>
      <c r="H17" s="7">
        <f>SUMIF($B$3:$B$128,"ガス料金",$C$3:$C$128)</f>
        <v>0</v>
      </c>
    </row>
    <row r="18" spans="1:14">
      <c r="A18" s="1"/>
      <c r="B18" s="6"/>
      <c r="C18" s="5"/>
      <c r="D18" s="6"/>
      <c r="E18" s="4"/>
      <c r="G18" s="42" t="s">
        <v>31</v>
      </c>
      <c r="H18" s="7">
        <f>SUMIF($B$3:$B$128,"交際費",$C$3:$C$128)</f>
        <v>0</v>
      </c>
    </row>
    <row r="19" spans="1:14">
      <c r="A19" s="1"/>
      <c r="B19" s="6"/>
      <c r="C19" s="5"/>
      <c r="D19" s="6"/>
      <c r="E19" s="4"/>
      <c r="G19" s="42" t="s">
        <v>61</v>
      </c>
      <c r="H19" s="7">
        <f>SUMIF($B$3:$B$128,"雑費",$C$3:$C$128)</f>
        <v>0</v>
      </c>
    </row>
    <row r="20" spans="1:14" ht="19.5" thickBot="1">
      <c r="A20" s="1"/>
      <c r="B20" s="6"/>
      <c r="C20" s="5"/>
      <c r="D20" s="6"/>
      <c r="E20" s="4"/>
      <c r="G20" s="86"/>
      <c r="H20" s="87"/>
    </row>
    <row r="21" spans="1:14" ht="19.5" thickBot="1">
      <c r="A21" s="43"/>
      <c r="B21" s="39"/>
      <c r="C21" s="5"/>
      <c r="D21" s="6"/>
      <c r="E21" s="4"/>
      <c r="H21" s="9"/>
      <c r="L21" s="15" t="s">
        <v>93</v>
      </c>
    </row>
    <row r="22" spans="1:14" ht="19.5" thickBot="1">
      <c r="A22" s="1"/>
      <c r="B22" s="47"/>
      <c r="C22" s="48"/>
      <c r="D22" s="6"/>
      <c r="E22" s="4"/>
      <c r="G22" s="17" t="s">
        <v>18</v>
      </c>
      <c r="L22" s="72" t="s">
        <v>89</v>
      </c>
      <c r="M22" s="73"/>
      <c r="N22" s="84">
        <f>'7月'!N25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'7月'!N29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G33" s="46" t="s">
        <v>33</v>
      </c>
      <c r="H33" s="45">
        <f>H14</f>
        <v>0</v>
      </c>
      <c r="I33" s="10"/>
    </row>
    <row r="34" spans="1:9">
      <c r="A34" s="1"/>
      <c r="B34" s="6"/>
      <c r="C34" s="5"/>
      <c r="D34" s="6"/>
      <c r="E34" s="4"/>
      <c r="G34" s="83" t="s">
        <v>34</v>
      </c>
      <c r="H34" s="45">
        <f>H15</f>
        <v>0</v>
      </c>
      <c r="I34" s="10"/>
    </row>
    <row r="35" spans="1:9">
      <c r="A35" s="1"/>
      <c r="B35" s="6"/>
      <c r="C35" s="5"/>
      <c r="D35" s="6"/>
      <c r="E35" s="4"/>
      <c r="G35" s="83" t="s">
        <v>35</v>
      </c>
      <c r="H35" s="45">
        <f>H16</f>
        <v>0</v>
      </c>
      <c r="I35" s="10"/>
    </row>
    <row r="36" spans="1:9">
      <c r="A36" s="1"/>
      <c r="B36" s="6"/>
      <c r="C36" s="5"/>
      <c r="D36" s="6"/>
      <c r="E36" s="4"/>
      <c r="G36" s="83" t="s">
        <v>32</v>
      </c>
      <c r="H36" s="45">
        <f t="shared" ref="H36" si="0">H17</f>
        <v>0</v>
      </c>
      <c r="I36" s="10"/>
    </row>
    <row r="37" spans="1:9">
      <c r="A37" s="1"/>
      <c r="B37" s="6"/>
      <c r="C37" s="5"/>
      <c r="D37" s="6"/>
      <c r="E37" s="4"/>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4"/>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c r="A47" s="1"/>
      <c r="B47" s="6"/>
      <c r="C47" s="5"/>
      <c r="D47" s="6"/>
      <c r="E47" s="4"/>
    </row>
    <row r="48" spans="1:9">
      <c r="A48" s="1"/>
      <c r="B48" s="6"/>
      <c r="C48" s="5"/>
      <c r="D48" s="6"/>
      <c r="E48" s="4"/>
    </row>
    <row r="49" spans="1:9">
      <c r="A49" s="1"/>
      <c r="B49" s="6"/>
      <c r="C49" s="5"/>
      <c r="D49" s="6"/>
      <c r="E49" s="4"/>
    </row>
    <row r="50" spans="1:9">
      <c r="A50" s="1"/>
      <c r="B50" s="6"/>
      <c r="C50" s="5"/>
      <c r="D50" s="6"/>
      <c r="E50" s="4"/>
      <c r="F50" s="36"/>
    </row>
    <row r="51" spans="1:9">
      <c r="A51" s="1"/>
      <c r="B51" s="6"/>
      <c r="C51" s="5"/>
      <c r="D51" s="6"/>
      <c r="E51" s="4"/>
    </row>
    <row r="52" spans="1:9">
      <c r="A52" s="1"/>
      <c r="B52" s="6"/>
      <c r="C52" s="5"/>
      <c r="D52" s="6"/>
      <c r="E52" s="4"/>
    </row>
    <row r="53" spans="1:9">
      <c r="A53" s="1"/>
      <c r="B53" s="6"/>
      <c r="C53" s="5"/>
      <c r="D53" s="6"/>
      <c r="E53" s="4"/>
    </row>
    <row r="54" spans="1:9">
      <c r="A54" s="1"/>
      <c r="B54" s="6"/>
      <c r="C54" s="5"/>
      <c r="D54" s="6"/>
      <c r="E54" s="4"/>
      <c r="G54" s="36"/>
      <c r="I54" s="36"/>
    </row>
    <row r="55" spans="1:9">
      <c r="A55" s="1"/>
      <c r="B55" s="6"/>
      <c r="C55" s="5"/>
      <c r="D55" s="6"/>
      <c r="E55" s="4"/>
    </row>
    <row r="56" spans="1:9">
      <c r="A56" s="1"/>
      <c r="B56" s="6"/>
      <c r="C56" s="5"/>
      <c r="D56" s="6"/>
      <c r="E56" s="4"/>
    </row>
    <row r="57" spans="1:9">
      <c r="A57" s="1"/>
      <c r="B57" s="6"/>
      <c r="C57" s="5"/>
      <c r="D57" s="6"/>
      <c r="E57" s="4"/>
    </row>
    <row r="58" spans="1:9">
      <c r="A58" s="1"/>
      <c r="B58" s="6"/>
      <c r="C58" s="5"/>
      <c r="D58" s="6"/>
      <c r="E58" s="4"/>
    </row>
    <row r="59" spans="1:9">
      <c r="A59" s="1"/>
      <c r="B59" s="6"/>
      <c r="C59" s="5"/>
      <c r="D59" s="6"/>
      <c r="E59" s="4"/>
    </row>
    <row r="60" spans="1:9">
      <c r="A60" s="1"/>
      <c r="B60" s="6"/>
      <c r="C60" s="5"/>
      <c r="D60" s="6"/>
      <c r="E60" s="4"/>
    </row>
    <row r="61" spans="1:9">
      <c r="A61" s="1"/>
      <c r="B61" s="6"/>
      <c r="C61" s="5"/>
      <c r="D61" s="37"/>
      <c r="E61" s="4"/>
    </row>
    <row r="62" spans="1:9">
      <c r="A62" s="1"/>
      <c r="B62" s="6"/>
      <c r="C62" s="5"/>
      <c r="D62" s="6"/>
      <c r="E62" s="4"/>
    </row>
    <row r="63" spans="1:9">
      <c r="A63" s="1"/>
      <c r="B63" s="6"/>
      <c r="C63" s="4"/>
      <c r="D63" s="35"/>
      <c r="E63" s="4"/>
    </row>
    <row r="64" spans="1:9">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38"/>
      <c r="D70" s="6"/>
      <c r="E70" s="33"/>
    </row>
    <row r="71" spans="1:5">
      <c r="A71" s="1"/>
      <c r="B71" s="6"/>
      <c r="C71" s="5"/>
      <c r="D71" s="6"/>
      <c r="E71" s="33"/>
    </row>
    <row r="72" spans="1:5">
      <c r="A72" s="1"/>
      <c r="B72" s="6"/>
      <c r="C72" s="5"/>
      <c r="D72" s="6"/>
      <c r="E72" s="5"/>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2"/>
    </row>
    <row r="127" spans="1:5">
      <c r="A127" s="2"/>
    </row>
    <row r="128" spans="1:5">
      <c r="A128" s="2"/>
    </row>
  </sheetData>
  <autoFilter ref="A2:E2" xr:uid="{1ADF8D27-7929-42F2-8826-E6DB51FEE2BA}"/>
  <mergeCells count="1">
    <mergeCell ref="B1:E1"/>
  </mergeCells>
  <phoneticPr fontId="1"/>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transcribe">
                <anchor moveWithCells="1" sizeWithCells="1">
                  <from>
                    <xdr:col>10</xdr:col>
                    <xdr:colOff>590550</xdr:colOff>
                    <xdr:row>2</xdr:row>
                    <xdr:rowOff>38100</xdr:rowOff>
                  </from>
                  <to>
                    <xdr:col>14</xdr:col>
                    <xdr:colOff>295275</xdr:colOff>
                    <xdr:row>7</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3F913-04D9-4FC5-8423-AC118ADFA6EC}">
  <sheetPr codeName="Sheet6"/>
  <dimension ref="A1:N132"/>
  <sheetViews>
    <sheetView workbookViewId="0">
      <selection activeCell="A6" sqref="A6"/>
    </sheetView>
  </sheetViews>
  <sheetFormatPr defaultRowHeight="18.75"/>
  <cols>
    <col min="2" max="2" width="10.125" bestFit="1" customWidth="1"/>
    <col min="3" max="3" width="10" bestFit="1" customWidth="1"/>
    <col min="4" max="4" width="10.125" bestFit="1" customWidth="1"/>
    <col min="5" max="5" width="10" bestFit="1" customWidth="1"/>
    <col min="7" max="7" width="17.375" bestFit="1" customWidth="1"/>
    <col min="9" max="9" width="10.125" bestFit="1" customWidth="1"/>
    <col min="12" max="12" width="14" bestFit="1" customWidth="1"/>
    <col min="14" max="14" width="10" bestFit="1" customWidth="1"/>
  </cols>
  <sheetData>
    <row r="1" spans="1:10" ht="19.5" thickBot="1">
      <c r="B1" s="112" t="s">
        <v>0</v>
      </c>
      <c r="C1" s="113"/>
      <c r="D1" s="113"/>
      <c r="E1" s="114"/>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SUMIF(B3:B129,"現金",C3:C129)</f>
        <v>0</v>
      </c>
      <c r="I3" s="94" t="s">
        <v>6</v>
      </c>
      <c r="J3" s="95">
        <f>SUMIF($D$3:$D$129,"現金",$E$3:$E$129)</f>
        <v>0</v>
      </c>
    </row>
    <row r="4" spans="1:10">
      <c r="A4" s="1"/>
      <c r="B4" s="6"/>
      <c r="C4" s="5"/>
      <c r="D4" s="6"/>
      <c r="E4" s="4"/>
      <c r="G4" s="3" t="s">
        <v>8</v>
      </c>
      <c r="H4" s="7">
        <f>SUMIF($B$3:$B$129,"食費",$C$3:$C$129)</f>
        <v>0</v>
      </c>
      <c r="I4" s="3" t="s">
        <v>11</v>
      </c>
      <c r="J4" s="7">
        <f>SUMIF($D$3:$D$129,"給料",$E$3:$E$129)</f>
        <v>0</v>
      </c>
    </row>
    <row r="5" spans="1:10">
      <c r="A5" s="1"/>
      <c r="B5" s="6"/>
      <c r="C5" s="5"/>
      <c r="D5" s="6"/>
      <c r="E5" s="4"/>
      <c r="G5" s="3" t="s">
        <v>9</v>
      </c>
      <c r="H5" s="7">
        <f>SUMIF(B3:B129,"生活費",C3:C129)</f>
        <v>0</v>
      </c>
      <c r="I5" s="3" t="s">
        <v>12</v>
      </c>
      <c r="J5" s="7">
        <f>SUMIF($D$3:$D$129,"売上金",$E$3:$E$129)</f>
        <v>0</v>
      </c>
    </row>
    <row r="6" spans="1:10">
      <c r="A6" s="1"/>
      <c r="B6" s="6"/>
      <c r="C6" s="5"/>
      <c r="D6" s="6"/>
      <c r="E6" s="4"/>
      <c r="G6" s="3" t="s">
        <v>7</v>
      </c>
      <c r="H6" s="7">
        <f>SUMIF(B3:B129,"交通費",C3:C129)</f>
        <v>0</v>
      </c>
      <c r="I6" s="3" t="s">
        <v>8</v>
      </c>
      <c r="J6" s="7">
        <f>SUMIF($D$3:$D$129,"食費",$E$3:$E$129)</f>
        <v>0</v>
      </c>
    </row>
    <row r="7" spans="1:10">
      <c r="A7" s="1"/>
      <c r="B7" s="6"/>
      <c r="C7" s="5"/>
      <c r="D7" s="6"/>
      <c r="E7" s="4"/>
      <c r="G7" s="3" t="s">
        <v>15</v>
      </c>
      <c r="H7" s="7">
        <f>SUMIF(B3:B129,"娯楽費",C3:C129)</f>
        <v>0</v>
      </c>
      <c r="I7" s="3" t="s">
        <v>7</v>
      </c>
      <c r="J7" s="7">
        <f>SUMIF($D$3:$D$129,"交通費",$E$3:$E$129)</f>
        <v>0</v>
      </c>
    </row>
    <row r="8" spans="1:10">
      <c r="A8" s="1"/>
      <c r="B8" s="6"/>
      <c r="C8" s="5"/>
      <c r="D8" s="6"/>
      <c r="E8" s="4"/>
      <c r="G8" s="3" t="s">
        <v>10</v>
      </c>
      <c r="H8" s="7">
        <f>SUMIF(B3:B129,"携帯電話料金",C3:C129)</f>
        <v>0</v>
      </c>
      <c r="I8" s="3" t="s">
        <v>9</v>
      </c>
      <c r="J8" s="7">
        <f>SUMIF($D$3:$D$129,"生活費",$E$3:$E$129)</f>
        <v>0</v>
      </c>
    </row>
    <row r="9" spans="1:10">
      <c r="A9" s="1"/>
      <c r="B9" s="6"/>
      <c r="C9" s="5"/>
      <c r="D9" s="6"/>
      <c r="E9" s="4"/>
      <c r="G9" s="3" t="s">
        <v>16</v>
      </c>
      <c r="H9" s="7">
        <f>SUMIF(B3:B129,"自己研鑽費",C3:C129)</f>
        <v>0</v>
      </c>
      <c r="I9" s="3" t="s">
        <v>13</v>
      </c>
      <c r="J9" s="7">
        <f>SUMIF($D$3:$D$129,"雑益",$E$3:$E$129)</f>
        <v>0</v>
      </c>
    </row>
    <row r="10" spans="1:10">
      <c r="A10" s="1"/>
      <c r="B10" s="6"/>
      <c r="C10" s="5"/>
      <c r="D10" s="6"/>
      <c r="E10" s="4"/>
      <c r="G10" s="3" t="s">
        <v>17</v>
      </c>
      <c r="H10" s="7">
        <f>SUMIF(B3:B129,"会社立替費",C3:C129)</f>
        <v>0</v>
      </c>
      <c r="I10" s="3" t="s">
        <v>14</v>
      </c>
      <c r="J10" s="7">
        <f>SUMIF($D$3:$D$129,"クレジット",$E$3:$E$129)</f>
        <v>0</v>
      </c>
    </row>
    <row r="11" spans="1:10">
      <c r="A11" s="1"/>
      <c r="B11" s="6"/>
      <c r="C11" s="5"/>
      <c r="D11" s="6"/>
      <c r="E11" s="4"/>
      <c r="G11" s="3" t="s">
        <v>19</v>
      </c>
      <c r="H11" s="7">
        <f>SUMIF(B4:B130,"当座預金",C4:C130)</f>
        <v>0</v>
      </c>
      <c r="I11" s="3" t="s">
        <v>19</v>
      </c>
      <c r="J11" s="7">
        <f>SUMIF($D$3:$D$129,"当座預金",$E$3:$E$129)</f>
        <v>0</v>
      </c>
    </row>
    <row r="12" spans="1:10">
      <c r="A12" s="1"/>
      <c r="B12" s="6"/>
      <c r="C12" s="5"/>
      <c r="D12" s="6"/>
      <c r="E12" s="4"/>
      <c r="G12" s="3" t="s">
        <v>27</v>
      </c>
      <c r="H12" s="7">
        <f>SUMIF($B$3:$B$131,"医療費",$C$3:$C$131)</f>
        <v>0</v>
      </c>
    </row>
    <row r="13" spans="1:10">
      <c r="A13" s="1"/>
      <c r="B13" s="6"/>
      <c r="C13" s="5"/>
      <c r="D13" s="6"/>
      <c r="E13" s="4"/>
      <c r="G13" s="3" t="s">
        <v>28</v>
      </c>
      <c r="H13" s="7">
        <f>SUMIF($B$3:$B$131,"備品費",$C$3:$C$131)</f>
        <v>0</v>
      </c>
    </row>
    <row r="14" spans="1:10">
      <c r="A14" s="1"/>
      <c r="B14" s="6"/>
      <c r="C14" s="5"/>
      <c r="D14" s="6"/>
      <c r="E14" s="4"/>
      <c r="G14" s="3" t="s">
        <v>33</v>
      </c>
      <c r="H14" s="7">
        <f>SUMIF($B$3:$B$131,OR("家賃料","駐輪場代"),$C$3:$C$131)</f>
        <v>0</v>
      </c>
    </row>
    <row r="15" spans="1:10">
      <c r="A15" s="1"/>
      <c r="B15" s="6"/>
      <c r="C15" s="5"/>
      <c r="D15" s="6"/>
      <c r="E15" s="4"/>
      <c r="G15" s="3" t="s">
        <v>34</v>
      </c>
      <c r="H15" s="7">
        <f>SUMIF($B$3:$B$131,"水道料金",$C$3:$C$131)</f>
        <v>0</v>
      </c>
    </row>
    <row r="16" spans="1:10">
      <c r="A16" s="1"/>
      <c r="B16" s="6"/>
      <c r="C16" s="5"/>
      <c r="D16" s="6"/>
      <c r="E16" s="4"/>
      <c r="G16" s="3" t="s">
        <v>35</v>
      </c>
      <c r="H16" s="7">
        <f>SUMIF($B$3:$B$131,"電気料金",$C$3:$C$131)</f>
        <v>0</v>
      </c>
    </row>
    <row r="17" spans="1:14">
      <c r="A17" s="1"/>
      <c r="B17" s="6"/>
      <c r="C17" s="5"/>
      <c r="D17" s="6"/>
      <c r="E17" s="4"/>
      <c r="G17" s="3" t="s">
        <v>32</v>
      </c>
      <c r="H17" s="7">
        <f>SUMIF($B$3:$B$131,"ガス料金",$C$3:$C$131)</f>
        <v>0</v>
      </c>
    </row>
    <row r="18" spans="1:14">
      <c r="A18" s="1"/>
      <c r="B18" s="6"/>
      <c r="C18" s="5"/>
      <c r="D18" s="6"/>
      <c r="E18" s="4"/>
      <c r="G18" s="42" t="s">
        <v>31</v>
      </c>
      <c r="H18" s="7">
        <f>SUMIF($B$3:$B$131,"交際費",$C$3:$C$131)</f>
        <v>0</v>
      </c>
    </row>
    <row r="19" spans="1:14">
      <c r="A19" s="1"/>
      <c r="B19" s="6"/>
      <c r="C19" s="5"/>
      <c r="D19" s="6"/>
      <c r="E19" s="4"/>
      <c r="G19" s="42" t="s">
        <v>61</v>
      </c>
      <c r="H19" s="7">
        <f>SUMIF($B$3:$B$129,"雑費",$C$3:$C$129)</f>
        <v>0</v>
      </c>
    </row>
    <row r="20" spans="1:14" ht="19.5" thickBot="1">
      <c r="A20" s="1"/>
      <c r="B20" s="6"/>
      <c r="C20" s="5"/>
      <c r="D20" s="6"/>
      <c r="E20" s="4"/>
    </row>
    <row r="21" spans="1:14" ht="19.5" thickBot="1">
      <c r="A21" s="1"/>
      <c r="B21" s="6"/>
      <c r="C21" s="5"/>
      <c r="D21" s="6"/>
      <c r="E21" s="4"/>
      <c r="L21" s="15" t="s">
        <v>93</v>
      </c>
    </row>
    <row r="22" spans="1:14" ht="19.5" thickBot="1">
      <c r="A22" s="1"/>
      <c r="B22" s="6"/>
      <c r="C22" s="5"/>
      <c r="D22" s="6"/>
      <c r="E22" s="4"/>
      <c r="G22" s="17" t="s">
        <v>18</v>
      </c>
      <c r="L22" s="72" t="s">
        <v>89</v>
      </c>
      <c r="M22" s="73"/>
      <c r="N22" s="84">
        <f>'8月'!N25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'8月'!N29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75</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4"/>
      <c r="G33" s="46" t="s">
        <v>33</v>
      </c>
      <c r="H33" s="45">
        <f>H14</f>
        <v>0</v>
      </c>
      <c r="I33" s="10"/>
    </row>
    <row r="34" spans="1:9">
      <c r="A34" s="1"/>
      <c r="B34" s="6"/>
      <c r="C34" s="5"/>
      <c r="D34" s="6"/>
      <c r="E34" s="4"/>
      <c r="F34" s="44"/>
      <c r="G34" s="83" t="s">
        <v>34</v>
      </c>
      <c r="H34" s="45">
        <f>H15</f>
        <v>0</v>
      </c>
      <c r="I34" s="10"/>
    </row>
    <row r="35" spans="1:9">
      <c r="A35" s="1"/>
      <c r="B35" s="6"/>
      <c r="C35" s="5"/>
      <c r="D35" s="6"/>
      <c r="E35" s="4"/>
      <c r="F35" s="44"/>
      <c r="G35" s="83" t="s">
        <v>35</v>
      </c>
      <c r="H35" s="45">
        <f>H16</f>
        <v>0</v>
      </c>
      <c r="I35" s="10"/>
    </row>
    <row r="36" spans="1:9">
      <c r="A36" s="1"/>
      <c r="B36" s="6"/>
      <c r="C36" s="5"/>
      <c r="D36" s="6"/>
      <c r="E36" s="4"/>
      <c r="F36" s="44"/>
      <c r="G36" s="83" t="s">
        <v>32</v>
      </c>
      <c r="H36" s="45">
        <f t="shared" ref="H36" si="0">H17</f>
        <v>0</v>
      </c>
      <c r="I36" s="10"/>
    </row>
    <row r="37" spans="1:9">
      <c r="A37" s="1"/>
      <c r="B37" s="6"/>
      <c r="C37" s="5"/>
      <c r="D37" s="6"/>
      <c r="E37" s="4"/>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c r="A47" s="1"/>
      <c r="B47" s="6"/>
      <c r="C47" s="5"/>
      <c r="D47" s="6"/>
      <c r="E47" s="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1"/>
      <c r="B126" s="6"/>
      <c r="C126" s="5"/>
      <c r="D126" s="6"/>
      <c r="E126" s="4"/>
    </row>
    <row r="127" spans="1:5">
      <c r="A127" s="1"/>
      <c r="B127" s="6"/>
      <c r="C127" s="5"/>
      <c r="D127" s="6"/>
      <c r="E127" s="4"/>
    </row>
    <row r="128" spans="1:5">
      <c r="A128" s="1"/>
      <c r="B128" s="6"/>
      <c r="C128" s="5"/>
      <c r="D128" s="6"/>
      <c r="E128" s="4"/>
    </row>
    <row r="129" spans="1:5">
      <c r="A129" s="1"/>
      <c r="B129" s="6"/>
      <c r="C129" s="5"/>
      <c r="D129" s="6"/>
      <c r="E129" s="4"/>
    </row>
    <row r="130" spans="1:5">
      <c r="A130" s="2"/>
    </row>
    <row r="131" spans="1:5">
      <c r="A131" s="2"/>
    </row>
    <row r="132" spans="1:5">
      <c r="A132" s="2"/>
    </row>
  </sheetData>
  <mergeCells count="1">
    <mergeCell ref="B1:E1"/>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transcribe">
                <anchor moveWithCells="1" sizeWithCells="1">
                  <from>
                    <xdr:col>10</xdr:col>
                    <xdr:colOff>419100</xdr:colOff>
                    <xdr:row>3</xdr:row>
                    <xdr:rowOff>0</xdr:rowOff>
                  </from>
                  <to>
                    <xdr:col>13</xdr:col>
                    <xdr:colOff>552450</xdr:colOff>
                    <xdr:row>6</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B81FB-D093-4688-9954-F8C06924E249}">
  <sheetPr codeName="Sheet7"/>
  <dimension ref="A1:O132"/>
  <sheetViews>
    <sheetView workbookViewId="0">
      <pane ySplit="2" topLeftCell="A3" activePane="bottomLeft" state="frozen"/>
      <selection activeCell="L22" sqref="L22:L29"/>
      <selection pane="bottomLeft" activeCell="A6" sqref="A6"/>
    </sheetView>
  </sheetViews>
  <sheetFormatPr defaultRowHeight="18.75"/>
  <cols>
    <col min="2" max="2" width="11.375" bestFit="1" customWidth="1"/>
    <col min="3" max="3" width="10" bestFit="1" customWidth="1"/>
    <col min="4" max="4" width="10.125" bestFit="1" customWidth="1"/>
    <col min="5" max="5" width="11.125" bestFit="1" customWidth="1"/>
    <col min="7" max="7" width="17.625" customWidth="1"/>
    <col min="9" max="9" width="10.125" bestFit="1" customWidth="1"/>
    <col min="12" max="12" width="14" bestFit="1" customWidth="1"/>
    <col min="14" max="14" width="10"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SUMIF(B3:B129,"現金",C3:C129)</f>
        <v>0</v>
      </c>
      <c r="I3" s="94" t="s">
        <v>6</v>
      </c>
      <c r="J3" s="95">
        <f>SUMIF($D$3:$D$129,"現金",$E$3:$E$129)</f>
        <v>0</v>
      </c>
    </row>
    <row r="4" spans="1:10">
      <c r="A4" s="1"/>
      <c r="B4" s="6"/>
      <c r="C4" s="5"/>
      <c r="D4" s="6"/>
      <c r="E4" s="4"/>
      <c r="G4" s="3" t="s">
        <v>8</v>
      </c>
      <c r="H4" s="7">
        <f>SUMIF($B$3:$B$129,"食費",$C$3:$C$129)</f>
        <v>0</v>
      </c>
      <c r="I4" s="3" t="s">
        <v>11</v>
      </c>
      <c r="J4" s="7">
        <f>SUMIF($D$3:$D$129,"給料",$E$3:$E$129)</f>
        <v>0</v>
      </c>
    </row>
    <row r="5" spans="1:10">
      <c r="A5" s="1"/>
      <c r="B5" s="6"/>
      <c r="C5" s="5"/>
      <c r="D5" s="6"/>
      <c r="E5" s="4"/>
      <c r="G5" s="3" t="s">
        <v>9</v>
      </c>
      <c r="H5" s="7">
        <f>SUMIF(B3:B129,"生活費",C3:C129)</f>
        <v>0</v>
      </c>
      <c r="I5" s="3" t="s">
        <v>12</v>
      </c>
      <c r="J5" s="7">
        <f>SUMIF($D$3:$D$129,"売上金",$E$3:$E$129)</f>
        <v>0</v>
      </c>
    </row>
    <row r="6" spans="1:10">
      <c r="A6" s="1"/>
      <c r="B6" s="6"/>
      <c r="C6" s="5"/>
      <c r="D6" s="6"/>
      <c r="E6" s="4"/>
      <c r="G6" s="3" t="s">
        <v>7</v>
      </c>
      <c r="H6" s="7">
        <f>SUMIF(B3:B129,"交通費",C3:C129)</f>
        <v>0</v>
      </c>
      <c r="I6" s="3" t="s">
        <v>8</v>
      </c>
      <c r="J6" s="7">
        <f>SUMIF($D$3:$D$129,"食費",$E$3:$E$129)</f>
        <v>0</v>
      </c>
    </row>
    <row r="7" spans="1:10">
      <c r="A7" s="1"/>
      <c r="B7" s="6"/>
      <c r="C7" s="5"/>
      <c r="D7" s="6"/>
      <c r="E7" s="4"/>
      <c r="G7" s="3" t="s">
        <v>15</v>
      </c>
      <c r="H7" s="7">
        <f>SUMIF(B3:B129,"娯楽費",C3:C129)</f>
        <v>0</v>
      </c>
      <c r="I7" s="3" t="s">
        <v>7</v>
      </c>
      <c r="J7" s="7">
        <f>SUMIF($D$3:$D$129,"交通費",$E$3:$E$129)</f>
        <v>0</v>
      </c>
    </row>
    <row r="8" spans="1:10">
      <c r="A8" s="1"/>
      <c r="B8" s="6"/>
      <c r="C8" s="5"/>
      <c r="D8" s="6"/>
      <c r="E8" s="4"/>
      <c r="G8" s="3" t="s">
        <v>75</v>
      </c>
      <c r="H8" s="7">
        <f>SUMIF(B3:B129,"携帯電話料金",C3:C129)</f>
        <v>0</v>
      </c>
      <c r="I8" s="3" t="s">
        <v>9</v>
      </c>
      <c r="J8" s="7">
        <f>SUMIF($D$3:$D$129,"生活費",$E$3:$E$129)</f>
        <v>0</v>
      </c>
    </row>
    <row r="9" spans="1:10">
      <c r="A9" s="1"/>
      <c r="B9" s="6"/>
      <c r="C9" s="5"/>
      <c r="D9" s="6"/>
      <c r="E9" s="4"/>
      <c r="G9" s="3" t="s">
        <v>41</v>
      </c>
      <c r="H9" s="7">
        <f>SUMIF(B3:B129,"自己研鑽費",C3:C129)</f>
        <v>0</v>
      </c>
      <c r="I9" s="3" t="s">
        <v>13</v>
      </c>
      <c r="J9" s="7">
        <f>SUMIF($D$3:$D$129,"雑益",$E$3:$E$129)</f>
        <v>0</v>
      </c>
    </row>
    <row r="10" spans="1:10">
      <c r="A10" s="1"/>
      <c r="B10" s="6"/>
      <c r="C10" s="5"/>
      <c r="D10" s="6"/>
      <c r="E10" s="4"/>
      <c r="G10" s="3" t="s">
        <v>17</v>
      </c>
      <c r="H10" s="7">
        <f>SUMIF(B3:B129,"会社立替費",C3:C129)</f>
        <v>0</v>
      </c>
      <c r="I10" s="3" t="s">
        <v>14</v>
      </c>
      <c r="J10" s="7">
        <f>SUMIF($D$3:$D$129,"クレジット",$E$3:$E$129)</f>
        <v>0</v>
      </c>
    </row>
    <row r="11" spans="1:10">
      <c r="A11" s="1"/>
      <c r="B11" s="6"/>
      <c r="C11" s="5"/>
      <c r="D11" s="6"/>
      <c r="E11" s="4"/>
      <c r="G11" s="3" t="s">
        <v>19</v>
      </c>
      <c r="H11" s="7">
        <f>SUMIF(B4:B130,"当座預金",C4:C130)</f>
        <v>0</v>
      </c>
      <c r="I11" s="3" t="s">
        <v>19</v>
      </c>
      <c r="J11" s="7">
        <f>SUMIF($D$3:$D$129,"当座預金",$E$3:$E$129)</f>
        <v>0</v>
      </c>
    </row>
    <row r="12" spans="1:10">
      <c r="A12" s="1"/>
      <c r="B12" s="6"/>
      <c r="C12" s="5"/>
      <c r="D12" s="6"/>
      <c r="E12" s="4"/>
      <c r="F12" s="36"/>
      <c r="G12" s="3" t="s">
        <v>27</v>
      </c>
      <c r="H12" s="7">
        <f>SUMIF($B$3:$B$131,"医療費",$C$3:$C$131)</f>
        <v>0</v>
      </c>
    </row>
    <row r="13" spans="1:10">
      <c r="A13" s="1"/>
      <c r="B13" s="6"/>
      <c r="C13" s="5"/>
      <c r="D13" s="6"/>
      <c r="E13" s="4"/>
      <c r="G13" s="3" t="s">
        <v>28</v>
      </c>
      <c r="H13" s="7">
        <f>SUMIF($B$3:$B$131,"備品費",$C$3:$C$131)</f>
        <v>0</v>
      </c>
    </row>
    <row r="14" spans="1:10">
      <c r="A14" s="1"/>
      <c r="B14" s="6"/>
      <c r="C14" s="5"/>
      <c r="D14" s="6"/>
      <c r="E14" s="4"/>
      <c r="G14" s="3" t="s">
        <v>33</v>
      </c>
      <c r="H14" s="7">
        <f>SUMIF($B$3:$B$131,"家賃料",$C$3:$C$131)</f>
        <v>0</v>
      </c>
    </row>
    <row r="15" spans="1:10">
      <c r="A15" s="1"/>
      <c r="B15" s="6"/>
      <c r="C15" s="5"/>
      <c r="D15" s="6"/>
      <c r="E15" s="4"/>
      <c r="G15" s="3" t="s">
        <v>34</v>
      </c>
      <c r="H15" s="7">
        <f>SUMIF($B$3:$B$131,"水道料金",$C$3:$C$131)</f>
        <v>0</v>
      </c>
    </row>
    <row r="16" spans="1:10">
      <c r="A16" s="1"/>
      <c r="B16" s="6"/>
      <c r="C16" s="5"/>
      <c r="D16" s="6"/>
      <c r="E16" s="4"/>
      <c r="G16" s="3" t="s">
        <v>35</v>
      </c>
      <c r="H16" s="7">
        <f>SUMIF($B$3:$B$131,"電気料金",$C$3:$C$131)</f>
        <v>0</v>
      </c>
    </row>
    <row r="17" spans="1:15">
      <c r="A17" s="1"/>
      <c r="B17" s="6"/>
      <c r="C17" s="5"/>
      <c r="D17" s="6"/>
      <c r="E17" s="4"/>
      <c r="G17" s="3" t="s">
        <v>32</v>
      </c>
      <c r="H17" s="7">
        <f>SUMIF($B$3:$B$131,"ガス料金",$C$3:$C$131)</f>
        <v>0</v>
      </c>
    </row>
    <row r="18" spans="1:15">
      <c r="A18" s="1"/>
      <c r="B18" s="6"/>
      <c r="C18" s="5"/>
      <c r="D18" s="6"/>
      <c r="E18" s="4"/>
      <c r="F18" s="36"/>
      <c r="G18" s="42" t="s">
        <v>31</v>
      </c>
      <c r="H18" s="7">
        <f>SUMIF($B$3:$B$132,"交際費",$C$3:$C$132)</f>
        <v>0</v>
      </c>
    </row>
    <row r="19" spans="1:15">
      <c r="A19" s="1"/>
      <c r="B19" s="6"/>
      <c r="C19" s="5"/>
      <c r="D19" s="6"/>
      <c r="E19" s="4"/>
      <c r="G19" s="42" t="s">
        <v>61</v>
      </c>
      <c r="H19" s="7">
        <f>SUMIF($B$3:$B$129,"雑費",$C$3:$C$129)</f>
        <v>0</v>
      </c>
    </row>
    <row r="20" spans="1:15" ht="19.5" thickBot="1">
      <c r="A20" s="1"/>
      <c r="B20" s="6"/>
      <c r="C20" s="5"/>
      <c r="D20" s="6"/>
      <c r="E20" s="4"/>
      <c r="F20" s="36"/>
    </row>
    <row r="21" spans="1:15" ht="19.5" thickBot="1">
      <c r="A21" s="1"/>
      <c r="B21" s="6"/>
      <c r="C21" s="5"/>
      <c r="D21" s="6"/>
      <c r="E21" s="4"/>
      <c r="L21" s="15" t="s">
        <v>93</v>
      </c>
    </row>
    <row r="22" spans="1:15" ht="19.5" thickBot="1">
      <c r="A22" s="1"/>
      <c r="B22" s="6"/>
      <c r="C22" s="5"/>
      <c r="D22" s="6"/>
      <c r="E22" s="4"/>
      <c r="G22" s="17" t="s">
        <v>18</v>
      </c>
      <c r="L22" s="72" t="s">
        <v>89</v>
      </c>
      <c r="M22" s="73"/>
      <c r="N22" s="84">
        <f>'9月'!N25</f>
        <v>2558752</v>
      </c>
    </row>
    <row r="23" spans="1:15">
      <c r="A23" s="1"/>
      <c r="B23" s="6"/>
      <c r="C23" s="5"/>
      <c r="D23" s="6"/>
      <c r="E23" s="4"/>
      <c r="G23" s="20" t="s">
        <v>8</v>
      </c>
      <c r="H23" s="18">
        <f>H4</f>
        <v>0</v>
      </c>
      <c r="I23" s="19"/>
      <c r="L23" s="75" t="s">
        <v>20</v>
      </c>
      <c r="M23" s="33">
        <f>J11</f>
        <v>0</v>
      </c>
      <c r="N23" s="76"/>
    </row>
    <row r="24" spans="1:15">
      <c r="A24" s="1"/>
      <c r="B24" s="6"/>
      <c r="C24" s="5"/>
      <c r="D24" s="6"/>
      <c r="E24" s="4"/>
      <c r="G24" s="21" t="s">
        <v>9</v>
      </c>
      <c r="H24" s="45">
        <f>H5</f>
        <v>0</v>
      </c>
      <c r="I24" s="10"/>
      <c r="L24" s="75" t="s">
        <v>21</v>
      </c>
      <c r="M24" s="33">
        <f>H11</f>
        <v>0</v>
      </c>
      <c r="N24" s="76"/>
    </row>
    <row r="25" spans="1:15" ht="19.5" thickBot="1">
      <c r="A25" s="1"/>
      <c r="B25" s="6"/>
      <c r="C25" s="5"/>
      <c r="D25" s="6"/>
      <c r="E25" s="4"/>
      <c r="G25" s="21" t="s">
        <v>7</v>
      </c>
      <c r="H25" s="45">
        <f>H6</f>
        <v>0</v>
      </c>
      <c r="I25" s="10"/>
      <c r="L25" s="77" t="s">
        <v>87</v>
      </c>
      <c r="M25" s="78"/>
      <c r="N25" s="79">
        <f>N22-M23+M24</f>
        <v>2558752</v>
      </c>
      <c r="O25" s="9"/>
    </row>
    <row r="26" spans="1:15">
      <c r="A26" s="1"/>
      <c r="B26" s="6"/>
      <c r="C26" s="5"/>
      <c r="D26" s="6"/>
      <c r="E26" s="4"/>
      <c r="G26" s="21" t="s">
        <v>15</v>
      </c>
      <c r="H26" s="45">
        <f>H7</f>
        <v>0</v>
      </c>
      <c r="I26" s="10"/>
      <c r="L26" s="22" t="s">
        <v>90</v>
      </c>
      <c r="M26" s="80"/>
      <c r="N26" s="85">
        <f>'9月'!N29</f>
        <v>84115</v>
      </c>
    </row>
    <row r="27" spans="1:15">
      <c r="A27" s="1"/>
      <c r="B27" s="6"/>
      <c r="C27" s="5"/>
      <c r="D27" s="6"/>
      <c r="E27" s="4"/>
      <c r="G27" s="21" t="s">
        <v>16</v>
      </c>
      <c r="H27" s="45">
        <f>H9</f>
        <v>0</v>
      </c>
      <c r="I27" s="10"/>
      <c r="L27" s="75" t="s">
        <v>22</v>
      </c>
      <c r="M27" s="33">
        <f>J3</f>
        <v>0</v>
      </c>
      <c r="N27" s="76"/>
    </row>
    <row r="28" spans="1:15">
      <c r="A28" s="1"/>
      <c r="B28" s="6"/>
      <c r="C28" s="5"/>
      <c r="D28" s="6"/>
      <c r="E28" s="4"/>
      <c r="G28" s="21" t="s">
        <v>10</v>
      </c>
      <c r="H28" s="45">
        <f>H8</f>
        <v>0</v>
      </c>
      <c r="I28" s="10"/>
      <c r="L28" s="75" t="s">
        <v>23</v>
      </c>
      <c r="M28" s="33">
        <f>H3</f>
        <v>0</v>
      </c>
      <c r="N28" s="76"/>
    </row>
    <row r="29" spans="1:15" ht="19.5" thickBot="1">
      <c r="A29" s="1"/>
      <c r="B29" s="6"/>
      <c r="C29" s="5"/>
      <c r="D29" s="6"/>
      <c r="E29" s="4"/>
      <c r="G29" s="21" t="s">
        <v>17</v>
      </c>
      <c r="H29" s="45">
        <f>H10</f>
        <v>0</v>
      </c>
      <c r="I29" s="10"/>
      <c r="L29" s="77" t="s">
        <v>88</v>
      </c>
      <c r="M29" s="78"/>
      <c r="N29" s="79">
        <f>N26+M28-M27</f>
        <v>84115</v>
      </c>
    </row>
    <row r="30" spans="1:15" ht="19.5" thickBot="1">
      <c r="A30" s="1"/>
      <c r="B30" s="6"/>
      <c r="C30" s="5"/>
      <c r="D30" s="6"/>
      <c r="E30" s="4"/>
      <c r="G30" s="21" t="s">
        <v>29</v>
      </c>
      <c r="H30" s="45">
        <f>H13</f>
        <v>0</v>
      </c>
      <c r="I30" s="10"/>
      <c r="L30" s="24" t="s">
        <v>30</v>
      </c>
      <c r="M30" s="25"/>
      <c r="N30" s="26">
        <f>N25+N29</f>
        <v>2642867</v>
      </c>
    </row>
    <row r="31" spans="1:15">
      <c r="A31" s="1"/>
      <c r="B31" s="6"/>
      <c r="C31" s="5"/>
      <c r="D31" s="6"/>
      <c r="E31" s="4"/>
      <c r="G31" s="21" t="s">
        <v>27</v>
      </c>
      <c r="H31" s="45">
        <f>H12</f>
        <v>0</v>
      </c>
      <c r="I31" s="10"/>
    </row>
    <row r="32" spans="1:15">
      <c r="A32" s="1"/>
      <c r="B32" s="6"/>
      <c r="C32" s="5"/>
      <c r="D32" s="6"/>
      <c r="E32" s="4"/>
      <c r="G32" s="21" t="s">
        <v>31</v>
      </c>
      <c r="H32" s="45">
        <f>H18</f>
        <v>0</v>
      </c>
      <c r="I32" s="10"/>
    </row>
    <row r="33" spans="1:9">
      <c r="A33" s="1"/>
      <c r="B33" s="6"/>
      <c r="C33" s="5"/>
      <c r="D33" s="6"/>
      <c r="E33" s="4"/>
      <c r="F33" s="44"/>
      <c r="G33" s="83" t="s">
        <v>33</v>
      </c>
      <c r="H33" s="45">
        <f>H14</f>
        <v>0</v>
      </c>
      <c r="I33" s="10"/>
    </row>
    <row r="34" spans="1:9">
      <c r="A34" s="1"/>
      <c r="B34" s="6"/>
      <c r="C34" s="5"/>
      <c r="D34" s="6"/>
      <c r="E34" s="4"/>
      <c r="F34" s="44"/>
      <c r="G34" s="83" t="s">
        <v>34</v>
      </c>
      <c r="H34" s="45">
        <f>H15</f>
        <v>0</v>
      </c>
      <c r="I34" s="10"/>
    </row>
    <row r="35" spans="1:9">
      <c r="A35" s="1"/>
      <c r="B35" s="6"/>
      <c r="C35" s="5"/>
      <c r="D35" s="6"/>
      <c r="E35" s="4"/>
      <c r="F35" s="44"/>
      <c r="G35" s="83" t="s">
        <v>35</v>
      </c>
      <c r="H35" s="45">
        <f>H16</f>
        <v>0</v>
      </c>
      <c r="I35" s="10"/>
    </row>
    <row r="36" spans="1:9">
      <c r="A36" s="1"/>
      <c r="B36" s="6"/>
      <c r="C36" s="5"/>
      <c r="D36" s="6"/>
      <c r="E36" s="4"/>
      <c r="F36" s="44"/>
      <c r="G36" s="83" t="s">
        <v>32</v>
      </c>
      <c r="H36" s="45">
        <f t="shared" ref="H36" si="0">H17</f>
        <v>0</v>
      </c>
      <c r="I36" s="10"/>
    </row>
    <row r="37" spans="1:9">
      <c r="A37" s="1"/>
      <c r="B37" s="6"/>
      <c r="C37" s="5"/>
      <c r="D37" s="6"/>
      <c r="E37" s="4"/>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ht="19.5" thickBot="1">
      <c r="A47" s="1"/>
      <c r="B47" s="6"/>
      <c r="C47" s="5"/>
      <c r="D47" s="6"/>
      <c r="E47" s="4"/>
      <c r="G47" s="12"/>
      <c r="H47" s="13"/>
      <c r="I47" s="14"/>
    </row>
    <row r="48" spans="1:9">
      <c r="A48" s="1"/>
      <c r="B48" s="6"/>
      <c r="C48" s="5"/>
      <c r="D48" s="6"/>
      <c r="E48" s="4"/>
    </row>
    <row r="49" spans="1:5">
      <c r="A49" s="1"/>
      <c r="B49" s="6"/>
      <c r="C49" s="5"/>
      <c r="D49" s="6"/>
      <c r="E49" s="4"/>
    </row>
    <row r="50" spans="1:5">
      <c r="A50" s="1"/>
      <c r="B50" s="6"/>
      <c r="C50" s="49"/>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1"/>
      <c r="B126" s="6"/>
      <c r="C126" s="5"/>
      <c r="D126" s="6"/>
      <c r="E126" s="4"/>
    </row>
    <row r="127" spans="1:5">
      <c r="A127" s="1"/>
      <c r="B127" s="6"/>
      <c r="C127" s="5"/>
      <c r="D127" s="6"/>
      <c r="E127" s="4"/>
    </row>
    <row r="128" spans="1:5">
      <c r="A128" s="1"/>
      <c r="B128" s="6"/>
      <c r="C128" s="5"/>
      <c r="D128" s="6"/>
      <c r="E128" s="4"/>
    </row>
    <row r="129" spans="1:5">
      <c r="A129" s="1"/>
      <c r="B129" s="6"/>
      <c r="C129" s="5"/>
      <c r="D129" s="6"/>
      <c r="E129" s="4"/>
    </row>
    <row r="130" spans="1:5">
      <c r="A130" s="2"/>
    </row>
    <row r="131" spans="1:5">
      <c r="A131" s="2"/>
    </row>
    <row r="132" spans="1:5">
      <c r="A132" s="2"/>
    </row>
  </sheetData>
  <autoFilter ref="A2:E2" xr:uid="{2F79DB0D-13C7-43CA-9B19-3EC5D38B5998}"/>
  <mergeCells count="1">
    <mergeCell ref="B1:E1"/>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transcribe">
                <anchor moveWithCells="1" sizeWithCells="1">
                  <from>
                    <xdr:col>11</xdr:col>
                    <xdr:colOff>66675</xdr:colOff>
                    <xdr:row>3</xdr:row>
                    <xdr:rowOff>85725</xdr:rowOff>
                  </from>
                  <to>
                    <xdr:col>13</xdr:col>
                    <xdr:colOff>600075</xdr:colOff>
                    <xdr:row>6</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DAA95-A364-4D7E-9927-9D60CCF893AA}">
  <sheetPr codeName="Sheet8"/>
  <dimension ref="A1:N132"/>
  <sheetViews>
    <sheetView workbookViewId="0">
      <selection activeCell="A6" sqref="A6"/>
    </sheetView>
  </sheetViews>
  <sheetFormatPr defaultRowHeight="18.75"/>
  <cols>
    <col min="2" max="2" width="13" bestFit="1" customWidth="1"/>
    <col min="3" max="5" width="10.125" bestFit="1" customWidth="1"/>
    <col min="7" max="7" width="18.875" bestFit="1" customWidth="1"/>
    <col min="9" max="9" width="10.125" bestFit="1" customWidth="1"/>
    <col min="12" max="12" width="14" bestFit="1" customWidth="1"/>
    <col min="14" max="14" width="10"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SUMIF(B3:B129,"現金",C3:C129)</f>
        <v>0</v>
      </c>
      <c r="I3" s="94" t="s">
        <v>6</v>
      </c>
      <c r="J3" s="95">
        <f>SUMIF($D$3:$D$129,"現金",$E$3:$E$129)</f>
        <v>0</v>
      </c>
    </row>
    <row r="4" spans="1:10">
      <c r="A4" s="1"/>
      <c r="B4" s="6"/>
      <c r="C4" s="5"/>
      <c r="D4" s="6"/>
      <c r="E4" s="4"/>
      <c r="G4" s="3" t="s">
        <v>8</v>
      </c>
      <c r="H4" s="7">
        <f>SUMIF($B$3:$B$129,"食費",$C$3:$C$129)</f>
        <v>0</v>
      </c>
      <c r="I4" s="3" t="s">
        <v>11</v>
      </c>
      <c r="J4" s="7">
        <f>SUMIF($D$3:$D$129,"給料",$E$3:$E$129)</f>
        <v>0</v>
      </c>
    </row>
    <row r="5" spans="1:10">
      <c r="A5" s="1"/>
      <c r="B5" s="6"/>
      <c r="C5" s="5"/>
      <c r="D5" s="6"/>
      <c r="E5" s="4"/>
      <c r="G5" s="3" t="s">
        <v>9</v>
      </c>
      <c r="H5" s="7">
        <f>SUMIF(B3:B129,"生活費",C3:C129)</f>
        <v>0</v>
      </c>
      <c r="I5" s="3" t="s">
        <v>12</v>
      </c>
      <c r="J5" s="7">
        <f>SUMIF($D$3:$D$129,"売上金",$E$3:$E$129)</f>
        <v>0</v>
      </c>
    </row>
    <row r="6" spans="1:10">
      <c r="A6" s="1"/>
      <c r="B6" s="6"/>
      <c r="C6" s="5"/>
      <c r="D6" s="6"/>
      <c r="E6" s="4"/>
      <c r="G6" s="3" t="s">
        <v>7</v>
      </c>
      <c r="H6" s="7">
        <f>SUMIF(B3:B129,"交通費",C3:C129)</f>
        <v>0</v>
      </c>
      <c r="I6" s="3" t="s">
        <v>8</v>
      </c>
      <c r="J6" s="7">
        <f>SUMIF($D$3:$D$129,"食費",$E$3:$E$129)</f>
        <v>0</v>
      </c>
    </row>
    <row r="7" spans="1:10">
      <c r="A7" s="1"/>
      <c r="B7" s="6"/>
      <c r="C7" s="5"/>
      <c r="D7" s="6"/>
      <c r="E7" s="4"/>
      <c r="G7" s="3" t="s">
        <v>15</v>
      </c>
      <c r="H7" s="7">
        <f>SUMIF(B3:B129,"娯楽費",C3:C129)</f>
        <v>0</v>
      </c>
      <c r="I7" s="3" t="s">
        <v>7</v>
      </c>
      <c r="J7" s="7">
        <f>SUMIF($D$3:$D$129,"交通費",$E$3:$E$129)</f>
        <v>0</v>
      </c>
    </row>
    <row r="8" spans="1:10">
      <c r="A8" s="1"/>
      <c r="B8" s="6"/>
      <c r="C8" s="5"/>
      <c r="D8" s="6"/>
      <c r="E8" s="4"/>
      <c r="G8" s="3" t="s">
        <v>10</v>
      </c>
      <c r="H8" s="7">
        <f>SUMIF(B3:B129,"携帯電話料金",C3:C129)</f>
        <v>0</v>
      </c>
      <c r="I8" s="3" t="s">
        <v>9</v>
      </c>
      <c r="J8" s="7">
        <f>SUMIF($D$3:$D$129,"生活費",$E$3:$E$129)</f>
        <v>0</v>
      </c>
    </row>
    <row r="9" spans="1:10">
      <c r="A9" s="1"/>
      <c r="B9" s="6"/>
      <c r="C9" s="5"/>
      <c r="D9" s="6"/>
      <c r="E9" s="4"/>
      <c r="G9" s="3" t="s">
        <v>16</v>
      </c>
      <c r="H9" s="7">
        <f>SUMIF(B3:B129,"自己研鑽費",C3:C129)</f>
        <v>0</v>
      </c>
      <c r="I9" s="3" t="s">
        <v>13</v>
      </c>
      <c r="J9" s="7">
        <f>SUMIF($D$3:$D$129,"雑益",$E$3:$E$129)</f>
        <v>0</v>
      </c>
    </row>
    <row r="10" spans="1:10">
      <c r="A10" s="1"/>
      <c r="B10" s="6"/>
      <c r="C10" s="5"/>
      <c r="D10" s="6"/>
      <c r="E10" s="4"/>
      <c r="G10" s="3" t="s">
        <v>17</v>
      </c>
      <c r="H10" s="7">
        <f>SUMIF(B3:B129,"会社立替費",C3:C129)</f>
        <v>0</v>
      </c>
      <c r="I10" s="3" t="s">
        <v>14</v>
      </c>
      <c r="J10" s="7">
        <f>SUMIF($D$3:$D$129,"クレジット",$E$3:$E$129)</f>
        <v>0</v>
      </c>
    </row>
    <row r="11" spans="1:10">
      <c r="A11" s="1"/>
      <c r="B11" s="6"/>
      <c r="C11" s="5"/>
      <c r="D11" s="6"/>
      <c r="E11" s="4"/>
      <c r="G11" s="3" t="s">
        <v>19</v>
      </c>
      <c r="H11" s="7">
        <f>SUMIF(B4:B130,"当座預金",C4:C130)</f>
        <v>0</v>
      </c>
      <c r="I11" s="3" t="s">
        <v>19</v>
      </c>
      <c r="J11" s="7">
        <f>SUMIF($D$3:$D$129,"当座預金",$E$3:$E$129)</f>
        <v>0</v>
      </c>
    </row>
    <row r="12" spans="1:10">
      <c r="A12" s="1"/>
      <c r="B12" s="6"/>
      <c r="C12" s="5"/>
      <c r="D12" s="6"/>
      <c r="E12" s="4"/>
      <c r="G12" s="3" t="s">
        <v>27</v>
      </c>
      <c r="H12" s="7">
        <f>SUMIF($B$3:$B$131,"医療費",$C$3:$C$131)</f>
        <v>0</v>
      </c>
    </row>
    <row r="13" spans="1:10">
      <c r="A13" s="1"/>
      <c r="B13" s="6"/>
      <c r="C13" s="38"/>
      <c r="D13" s="6"/>
      <c r="E13" s="33"/>
      <c r="G13" s="3" t="s">
        <v>28</v>
      </c>
      <c r="H13" s="7">
        <f>SUMIF($B$3:$B$131,"備品費",$C$3:$C$131)</f>
        <v>0</v>
      </c>
    </row>
    <row r="14" spans="1:10">
      <c r="A14" s="1"/>
      <c r="B14" s="6"/>
      <c r="C14" s="5"/>
      <c r="D14" s="6"/>
      <c r="E14" s="4"/>
      <c r="G14" s="3" t="s">
        <v>33</v>
      </c>
      <c r="H14" s="7">
        <f>SUMIF($B$3:$B$131,OR("家賃料","駐輪場代"),$C$3:$C$131)</f>
        <v>0</v>
      </c>
    </row>
    <row r="15" spans="1:10">
      <c r="A15" s="1"/>
      <c r="B15" s="6"/>
      <c r="C15" s="5"/>
      <c r="D15" s="6"/>
      <c r="E15" s="4"/>
      <c r="G15" s="3" t="s">
        <v>34</v>
      </c>
      <c r="H15" s="7">
        <f>SUMIF($B$3:$B$131,"水道料金",$C$3:$C$131)</f>
        <v>0</v>
      </c>
    </row>
    <row r="16" spans="1:10">
      <c r="A16" s="1"/>
      <c r="B16" s="6"/>
      <c r="C16" s="5"/>
      <c r="D16" s="6"/>
      <c r="E16" s="4"/>
      <c r="G16" s="3" t="s">
        <v>35</v>
      </c>
      <c r="H16" s="7">
        <f>SUMIF($B$3:$B$131,"電気料金",$C$3:$C$131)</f>
        <v>0</v>
      </c>
    </row>
    <row r="17" spans="1:14">
      <c r="A17" s="1"/>
      <c r="B17" s="6"/>
      <c r="C17" s="5"/>
      <c r="D17" s="6"/>
      <c r="E17" s="4"/>
      <c r="G17" s="3" t="s">
        <v>32</v>
      </c>
      <c r="H17" s="7">
        <f>SUMIF($B$3:$B$131,"ガス料金",$C$3:$C$131)</f>
        <v>0</v>
      </c>
    </row>
    <row r="18" spans="1:14">
      <c r="A18" s="1"/>
      <c r="B18" s="6"/>
      <c r="C18" s="5"/>
      <c r="D18" s="6"/>
      <c r="E18" s="4"/>
      <c r="G18" s="42" t="s">
        <v>31</v>
      </c>
      <c r="H18" s="7">
        <f>SUMIF($B$3:$B$133,"交際費",$C$3:$C$133)</f>
        <v>0</v>
      </c>
    </row>
    <row r="19" spans="1:14">
      <c r="A19" s="1"/>
      <c r="B19" s="6"/>
      <c r="C19" s="5"/>
      <c r="D19" s="6"/>
      <c r="E19" s="4"/>
      <c r="G19" s="42" t="s">
        <v>61</v>
      </c>
      <c r="H19" s="7">
        <f>SUMIF($B$3:$B$129,"雑費",$C$3:$C$129)</f>
        <v>0</v>
      </c>
    </row>
    <row r="20" spans="1:14" ht="19.5" thickBot="1">
      <c r="A20" s="1"/>
      <c r="B20" s="6"/>
      <c r="C20" s="5"/>
      <c r="D20" s="6"/>
      <c r="E20" s="4"/>
    </row>
    <row r="21" spans="1:14" ht="19.5" thickBot="1">
      <c r="A21" s="1"/>
      <c r="B21" s="6"/>
      <c r="C21" s="5"/>
      <c r="D21" s="6"/>
      <c r="E21" s="4"/>
      <c r="L21" s="15" t="s">
        <v>93</v>
      </c>
    </row>
    <row r="22" spans="1:14" ht="19.5" thickBot="1">
      <c r="A22" s="1"/>
      <c r="B22" s="6"/>
      <c r="C22" s="5"/>
      <c r="D22" s="6"/>
      <c r="E22" s="4"/>
      <c r="G22" s="17" t="s">
        <v>18</v>
      </c>
      <c r="L22" s="72" t="s">
        <v>89</v>
      </c>
      <c r="M22" s="73"/>
      <c r="N22" s="84">
        <f>'10月'!N25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'10月'!N29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0"/>
      <c r="G33" s="46" t="s">
        <v>33</v>
      </c>
      <c r="H33" s="45">
        <f>H14</f>
        <v>0</v>
      </c>
      <c r="I33" s="10"/>
    </row>
    <row r="34" spans="1:9">
      <c r="A34" s="1"/>
      <c r="B34" s="6"/>
      <c r="C34" s="5"/>
      <c r="D34" s="6"/>
      <c r="E34" s="4"/>
      <c r="F34" s="40"/>
      <c r="G34" s="83" t="s">
        <v>34</v>
      </c>
      <c r="H34" s="45">
        <f>H15</f>
        <v>0</v>
      </c>
      <c r="I34" s="10"/>
    </row>
    <row r="35" spans="1:9">
      <c r="A35" s="1"/>
      <c r="B35" s="6"/>
      <c r="C35" s="5"/>
      <c r="D35" s="6"/>
      <c r="E35" s="5"/>
      <c r="F35" s="40"/>
      <c r="G35" s="83" t="s">
        <v>35</v>
      </c>
      <c r="H35" s="45">
        <f>H16</f>
        <v>0</v>
      </c>
      <c r="I35" s="10"/>
    </row>
    <row r="36" spans="1:9">
      <c r="A36" s="1"/>
      <c r="B36" s="6"/>
      <c r="C36" s="5"/>
      <c r="D36" s="6"/>
      <c r="E36" s="4"/>
      <c r="F36" s="40"/>
      <c r="G36" s="83" t="s">
        <v>32</v>
      </c>
      <c r="H36" s="45">
        <f t="shared" ref="H36" si="0">H17</f>
        <v>0</v>
      </c>
      <c r="I36" s="10"/>
    </row>
    <row r="37" spans="1:9">
      <c r="A37" s="1"/>
      <c r="B37" s="6"/>
      <c r="C37" s="5"/>
      <c r="D37" s="6"/>
      <c r="E37" s="4"/>
      <c r="F37" s="40"/>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ht="19.5" thickBot="1">
      <c r="A47" s="1"/>
      <c r="B47" s="6"/>
      <c r="C47" s="5"/>
      <c r="D47" s="6"/>
      <c r="E47" s="4"/>
      <c r="G47" s="12"/>
      <c r="H47" s="13"/>
      <c r="I47" s="1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1"/>
      <c r="B126" s="6"/>
      <c r="C126" s="5"/>
      <c r="D126" s="6"/>
      <c r="E126" s="4"/>
    </row>
    <row r="127" spans="1:5">
      <c r="A127" s="1"/>
      <c r="B127" s="6"/>
      <c r="C127" s="5"/>
      <c r="D127" s="6"/>
      <c r="E127" s="4"/>
    </row>
    <row r="128" spans="1:5">
      <c r="A128" s="1"/>
      <c r="B128" s="6"/>
      <c r="C128" s="5"/>
      <c r="D128" s="6"/>
      <c r="E128" s="4"/>
    </row>
    <row r="129" spans="1:5">
      <c r="A129" s="1"/>
      <c r="B129" s="6"/>
      <c r="C129" s="5"/>
      <c r="D129" s="6"/>
      <c r="E129" s="4"/>
    </row>
    <row r="130" spans="1:5">
      <c r="A130" s="2"/>
    </row>
    <row r="131" spans="1:5">
      <c r="A131" s="2"/>
    </row>
    <row r="132" spans="1:5">
      <c r="A132" s="2"/>
    </row>
  </sheetData>
  <autoFilter ref="A2:E2" xr:uid="{A4C926B1-590B-4A94-9976-E571191D86DC}"/>
  <mergeCells count="1">
    <mergeCell ref="B1:E1"/>
  </mergeCells>
  <phoneticPr fontId="1"/>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ranscribe">
                <anchor moveWithCells="1" sizeWithCells="1">
                  <from>
                    <xdr:col>10</xdr:col>
                    <xdr:colOff>504825</xdr:colOff>
                    <xdr:row>3</xdr:row>
                    <xdr:rowOff>19050</xdr:rowOff>
                  </from>
                  <to>
                    <xdr:col>13</xdr:col>
                    <xdr:colOff>466725</xdr:colOff>
                    <xdr:row>6</xdr:row>
                    <xdr:rowOff>200025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6FE51-9F72-4E63-93AB-FDB54C46BCB7}">
  <sheetPr codeName="Sheet9"/>
  <dimension ref="A1:N128"/>
  <sheetViews>
    <sheetView workbookViewId="0">
      <selection activeCell="A6" sqref="A6"/>
    </sheetView>
  </sheetViews>
  <sheetFormatPr defaultRowHeight="18.75"/>
  <cols>
    <col min="2" max="2" width="13" bestFit="1" customWidth="1"/>
    <col min="3" max="3" width="10.5" bestFit="1" customWidth="1"/>
    <col min="4" max="4" width="10.125" bestFit="1" customWidth="1"/>
    <col min="5" max="5" width="10.5" bestFit="1" customWidth="1"/>
    <col min="7" max="7" width="16.75" customWidth="1"/>
    <col min="9" max="9" width="10.125" bestFit="1" customWidth="1"/>
    <col min="12" max="12" width="14" bestFit="1" customWidth="1"/>
    <col min="14" max="14" width="10"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SUMIF(B3:B125,"現金",C3:C125)</f>
        <v>0</v>
      </c>
      <c r="I3" s="94" t="s">
        <v>6</v>
      </c>
      <c r="J3" s="95">
        <f>SUMIF($D$3:$D$125,"現金",$E$3:$E$125)</f>
        <v>0</v>
      </c>
    </row>
    <row r="4" spans="1:10">
      <c r="A4" s="1"/>
      <c r="B4" s="6"/>
      <c r="C4" s="5"/>
      <c r="D4" s="6"/>
      <c r="E4" s="4"/>
      <c r="G4" s="3" t="s">
        <v>8</v>
      </c>
      <c r="H4" s="7">
        <f>SUMIF($B$3:$B$125,"食費",$C$3:$C$125)</f>
        <v>0</v>
      </c>
      <c r="I4" s="3" t="s">
        <v>11</v>
      </c>
      <c r="J4" s="7">
        <f>SUMIF($D$3:$D$125,"給料",$E$3:$E$125)</f>
        <v>0</v>
      </c>
    </row>
    <row r="5" spans="1:10">
      <c r="A5" s="1"/>
      <c r="B5" s="6"/>
      <c r="C5" s="5"/>
      <c r="D5" s="6"/>
      <c r="E5" s="4"/>
      <c r="G5" s="3" t="s">
        <v>9</v>
      </c>
      <c r="H5" s="7">
        <f>SUMIF(B3:B125,"生活費",C3:C125)</f>
        <v>0</v>
      </c>
      <c r="I5" s="3" t="s">
        <v>12</v>
      </c>
      <c r="J5" s="7">
        <f>SUMIF($D$3:$D$125,"売上金",$E$3:$E$125)</f>
        <v>0</v>
      </c>
    </row>
    <row r="6" spans="1:10">
      <c r="A6" s="1"/>
      <c r="B6" s="6"/>
      <c r="C6" s="5"/>
      <c r="D6" s="6"/>
      <c r="E6" s="4"/>
      <c r="G6" s="3" t="s">
        <v>7</v>
      </c>
      <c r="H6" s="7">
        <f>SUMIF(B3:B125,"交通費",C3:C125)</f>
        <v>0</v>
      </c>
      <c r="I6" s="3" t="s">
        <v>8</v>
      </c>
      <c r="J6" s="7">
        <f>SUMIF($D$3:$D$125,"食費",$E$3:$E$125)</f>
        <v>0</v>
      </c>
    </row>
    <row r="7" spans="1:10">
      <c r="A7" s="1"/>
      <c r="B7" s="6"/>
      <c r="C7" s="5"/>
      <c r="D7" s="6"/>
      <c r="E7" s="4"/>
      <c r="G7" s="3" t="s">
        <v>15</v>
      </c>
      <c r="H7" s="7">
        <f>SUMIF(B3:B125,"娯楽費",C3:C125)-SUMIF(D3:D125,"娯楽費",E3:E125)</f>
        <v>0</v>
      </c>
      <c r="I7" s="3" t="s">
        <v>7</v>
      </c>
      <c r="J7" s="7">
        <f>SUMIF($D$3:$D$125,"交通費",$E$3:$E$125)</f>
        <v>0</v>
      </c>
    </row>
    <row r="8" spans="1:10">
      <c r="A8" s="1"/>
      <c r="B8" s="6"/>
      <c r="C8" s="5"/>
      <c r="D8" s="6"/>
      <c r="E8" s="4"/>
      <c r="G8" s="3" t="s">
        <v>10</v>
      </c>
      <c r="H8" s="7">
        <f>SUMIF(B3:B125,"携帯電話料金",C3:C125)</f>
        <v>0</v>
      </c>
      <c r="I8" s="3" t="s">
        <v>9</v>
      </c>
      <c r="J8" s="7">
        <f>SUMIF($D$3:$D$125,"生活費",$E$3:$E$125)</f>
        <v>0</v>
      </c>
    </row>
    <row r="9" spans="1:10">
      <c r="A9" s="1"/>
      <c r="B9" s="6"/>
      <c r="C9" s="5"/>
      <c r="D9" s="6"/>
      <c r="E9" s="4"/>
      <c r="G9" s="3" t="s">
        <v>16</v>
      </c>
      <c r="H9" s="7">
        <f>SUMIF(B3:B125,"自己研鑽費",C3:C125)</f>
        <v>0</v>
      </c>
      <c r="I9" s="3" t="s">
        <v>13</v>
      </c>
      <c r="J9" s="7">
        <f>SUMIF($D$3:$D$125,"雑益",$E$3:$E$125)</f>
        <v>0</v>
      </c>
    </row>
    <row r="10" spans="1:10">
      <c r="A10" s="1"/>
      <c r="B10" s="6"/>
      <c r="C10" s="5"/>
      <c r="D10" s="6"/>
      <c r="E10" s="4"/>
      <c r="G10" s="3" t="s">
        <v>17</v>
      </c>
      <c r="H10" s="7">
        <f>SUMIF(B3:B125,"会社立替費",C3:C125)</f>
        <v>0</v>
      </c>
      <c r="I10" s="3" t="s">
        <v>14</v>
      </c>
      <c r="J10" s="7">
        <f>SUMIF($D$3:$D$125,"クレジット",$E$3:$E$125)</f>
        <v>0</v>
      </c>
    </row>
    <row r="11" spans="1:10">
      <c r="A11" s="1"/>
      <c r="B11" s="6"/>
      <c r="C11" s="5"/>
      <c r="D11" s="6"/>
      <c r="E11" s="4"/>
      <c r="G11" s="3" t="s">
        <v>19</v>
      </c>
      <c r="H11" s="7">
        <f>SUMIF(B4:B126,"当座預金",C4:C126)</f>
        <v>0</v>
      </c>
      <c r="I11" s="3" t="s">
        <v>19</v>
      </c>
      <c r="J11" s="50">
        <f>SUMIF($D$3:$D$125,"当座預金",$E$3:$E$125)</f>
        <v>0</v>
      </c>
    </row>
    <row r="12" spans="1:10">
      <c r="A12" s="92"/>
      <c r="B12" s="6"/>
      <c r="C12" s="5"/>
      <c r="D12" s="6"/>
      <c r="E12" s="4"/>
      <c r="G12" s="3" t="s">
        <v>27</v>
      </c>
      <c r="H12" s="7">
        <f>SUMIF($B$3:$B$127,"医療費",$C$3:$C$127)</f>
        <v>0</v>
      </c>
      <c r="I12" s="1" t="s">
        <v>17</v>
      </c>
      <c r="J12" s="32">
        <f>SUMIF($D$3:$D$125,"会社立替費",$E$3:$E$125)</f>
        <v>0</v>
      </c>
    </row>
    <row r="13" spans="1:10">
      <c r="A13" s="1"/>
      <c r="B13" s="6"/>
      <c r="C13" s="5"/>
      <c r="D13" s="6"/>
      <c r="E13" s="4"/>
      <c r="G13" s="3" t="s">
        <v>28</v>
      </c>
      <c r="H13" s="7">
        <f>SUMIF($B$3:$B$127,"備品費",$C$3:$C$127)</f>
        <v>0</v>
      </c>
    </row>
    <row r="14" spans="1:10">
      <c r="A14" s="1"/>
      <c r="B14" s="6"/>
      <c r="C14" s="5"/>
      <c r="D14" s="6"/>
      <c r="E14" s="4"/>
      <c r="G14" s="3" t="s">
        <v>33</v>
      </c>
      <c r="H14" s="7">
        <f>SUMIF($B$3:$B$127,OR("家賃料","駐輪場代"),$C$3:$C$127)</f>
        <v>0</v>
      </c>
    </row>
    <row r="15" spans="1:10">
      <c r="A15" s="1"/>
      <c r="B15" s="6"/>
      <c r="C15" s="5"/>
      <c r="D15" s="6"/>
      <c r="E15" s="4"/>
      <c r="G15" s="3" t="s">
        <v>34</v>
      </c>
      <c r="H15" s="7">
        <f>SUMIF($B$3:$B$127,"水道料金",$C$3:$C$127)</f>
        <v>0</v>
      </c>
    </row>
    <row r="16" spans="1:10">
      <c r="A16" s="1"/>
      <c r="B16" s="6"/>
      <c r="C16" s="5"/>
      <c r="D16" s="6"/>
      <c r="E16" s="4"/>
      <c r="G16" s="3" t="s">
        <v>35</v>
      </c>
      <c r="H16" s="7">
        <f>SUMIF($B$3:$B$127,"電気料金",$C$3:$C$127)</f>
        <v>0</v>
      </c>
    </row>
    <row r="17" spans="1:14">
      <c r="A17" s="1"/>
      <c r="B17" s="6"/>
      <c r="C17" s="5"/>
      <c r="D17" s="6"/>
      <c r="E17" s="4"/>
      <c r="G17" s="3" t="s">
        <v>32</v>
      </c>
      <c r="H17" s="7">
        <f>SUMIF($B$3:$B$127,"ガス料金",$C$3:$C$127)</f>
        <v>0</v>
      </c>
    </row>
    <row r="18" spans="1:14">
      <c r="A18" s="1"/>
      <c r="B18" s="6"/>
      <c r="C18" s="5"/>
      <c r="D18" s="6"/>
      <c r="E18" s="4"/>
      <c r="G18" s="42" t="s">
        <v>31</v>
      </c>
      <c r="H18" s="7">
        <f>SUMIF($B$3:$B$134,"交際費",$C$3:$C$134)</f>
        <v>0</v>
      </c>
    </row>
    <row r="19" spans="1:14">
      <c r="A19" s="1"/>
      <c r="B19" s="6"/>
      <c r="C19" s="5"/>
      <c r="D19" s="6"/>
      <c r="E19" s="4"/>
      <c r="G19" s="42" t="s">
        <v>61</v>
      </c>
      <c r="H19" s="7">
        <f>SUMIF($B$3:$B$129,"雑費",$C$3:$C$129)</f>
        <v>0</v>
      </c>
    </row>
    <row r="20" spans="1:14" ht="19.5" thickBot="1">
      <c r="A20" s="1"/>
      <c r="B20" s="6"/>
      <c r="C20" s="5"/>
      <c r="D20" s="6"/>
      <c r="E20" s="4"/>
      <c r="G20" s="3" t="s">
        <v>14</v>
      </c>
      <c r="H20" s="7">
        <f>SUMIF($B$3:$B$125,"クレジット",$C$3:$C$125)</f>
        <v>0</v>
      </c>
    </row>
    <row r="21" spans="1:14" ht="19.5" thickBot="1">
      <c r="A21" s="1"/>
      <c r="B21" s="6"/>
      <c r="C21" s="5"/>
      <c r="D21" s="6"/>
      <c r="E21" s="4"/>
      <c r="L21" s="15" t="s">
        <v>93</v>
      </c>
    </row>
    <row r="22" spans="1:14" ht="19.5" thickBot="1">
      <c r="A22" s="1"/>
      <c r="B22" s="6"/>
      <c r="C22" s="5"/>
      <c r="D22" s="6"/>
      <c r="E22" s="4"/>
      <c r="G22" s="17" t="s">
        <v>18</v>
      </c>
      <c r="L22" s="72" t="s">
        <v>89</v>
      </c>
      <c r="M22" s="73"/>
      <c r="N22" s="84">
        <f>'11月'!N25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'11月'!N29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0"/>
      <c r="G33" s="46" t="s">
        <v>33</v>
      </c>
      <c r="H33" s="45">
        <f>H14</f>
        <v>0</v>
      </c>
      <c r="I33" s="10"/>
    </row>
    <row r="34" spans="1:9">
      <c r="A34" s="1"/>
      <c r="B34" s="6"/>
      <c r="C34" s="5"/>
      <c r="D34" s="6"/>
      <c r="E34" s="4"/>
      <c r="F34" s="40"/>
      <c r="G34" s="83" t="s">
        <v>34</v>
      </c>
      <c r="H34" s="45">
        <f>H15</f>
        <v>0</v>
      </c>
      <c r="I34" s="10"/>
    </row>
    <row r="35" spans="1:9">
      <c r="A35" s="1"/>
      <c r="B35" s="6"/>
      <c r="C35" s="5"/>
      <c r="D35" s="6"/>
      <c r="E35" s="4"/>
      <c r="F35" s="40"/>
      <c r="G35" s="83" t="s">
        <v>35</v>
      </c>
      <c r="H35" s="45">
        <f>H16</f>
        <v>0</v>
      </c>
      <c r="I35" s="10"/>
    </row>
    <row r="36" spans="1:9">
      <c r="A36" s="1"/>
      <c r="B36" s="6"/>
      <c r="C36" s="5"/>
      <c r="D36" s="6"/>
      <c r="E36" s="4"/>
      <c r="F36" s="40"/>
      <c r="G36" s="83" t="s">
        <v>32</v>
      </c>
      <c r="H36" s="45">
        <f t="shared" ref="H36" si="0">H17</f>
        <v>0</v>
      </c>
      <c r="I36" s="10"/>
    </row>
    <row r="37" spans="1:9">
      <c r="A37" s="1"/>
      <c r="B37" s="6"/>
      <c r="C37" s="5"/>
      <c r="D37" s="6"/>
      <c r="E37" s="4"/>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ht="19.5" thickBot="1">
      <c r="A47" s="1"/>
      <c r="B47" s="6"/>
      <c r="C47" s="5"/>
      <c r="D47" s="6"/>
      <c r="E47" s="4"/>
      <c r="G47" s="12"/>
      <c r="H47" s="13"/>
      <c r="I47" s="1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2"/>
    </row>
    <row r="127" spans="1:5">
      <c r="A127" s="2"/>
    </row>
    <row r="128" spans="1:5">
      <c r="A128" s="2"/>
    </row>
  </sheetData>
  <autoFilter ref="A2:J2" xr:uid="{F95D3B94-CBA4-44FA-97DF-B9898731DA71}"/>
  <mergeCells count="1">
    <mergeCell ref="B1:E1"/>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transcribe">
                <anchor moveWithCells="1" sizeWithCells="1">
                  <from>
                    <xdr:col>10</xdr:col>
                    <xdr:colOff>638175</xdr:colOff>
                    <xdr:row>1</xdr:row>
                    <xdr:rowOff>161925</xdr:rowOff>
                  </from>
                  <to>
                    <xdr:col>13</xdr:col>
                    <xdr:colOff>666750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935BB-11E9-4414-AAB6-77DAA326531A}">
  <sheetPr codeName="Sheet10"/>
  <dimension ref="A1:N128"/>
  <sheetViews>
    <sheetView workbookViewId="0">
      <selection activeCell="A6" sqref="A6"/>
    </sheetView>
  </sheetViews>
  <sheetFormatPr defaultRowHeight="18.75"/>
  <cols>
    <col min="2" max="4" width="10.125" bestFit="1" customWidth="1"/>
    <col min="5" max="5" width="9.5" bestFit="1" customWidth="1"/>
    <col min="7" max="7" width="17.875" customWidth="1"/>
    <col min="9" max="9" width="10.125" bestFit="1" customWidth="1"/>
    <col min="12" max="12" width="14" bestFit="1" customWidth="1"/>
    <col min="14" max="14" width="10"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65"/>
      <c r="G3" s="94" t="s">
        <v>6</v>
      </c>
      <c r="H3" s="95">
        <f>SUMIF(B3:B125,"現金",C3:C125)</f>
        <v>0</v>
      </c>
      <c r="I3" s="94" t="s">
        <v>6</v>
      </c>
      <c r="J3" s="95">
        <f>SUMIF($D$3:$D$125,"現金",$E$3:$E$125)</f>
        <v>0</v>
      </c>
    </row>
    <row r="4" spans="1:10">
      <c r="A4" s="1"/>
      <c r="B4" s="6"/>
      <c r="C4" s="5"/>
      <c r="D4" s="6"/>
      <c r="E4" s="4"/>
      <c r="G4" s="3" t="s">
        <v>8</v>
      </c>
      <c r="H4" s="7">
        <f>SUMIF($B$3:$B$125,"食費",$C$3:$C$125)</f>
        <v>0</v>
      </c>
      <c r="I4" s="3" t="s">
        <v>11</v>
      </c>
      <c r="J4" s="7">
        <f>SUMIF($D$3:$D$125,"給料",$E$3:$E$125)</f>
        <v>0</v>
      </c>
    </row>
    <row r="5" spans="1:10">
      <c r="A5" s="1"/>
      <c r="B5" s="6"/>
      <c r="C5" s="5"/>
      <c r="D5" s="6"/>
      <c r="E5" s="4"/>
      <c r="G5" s="3" t="s">
        <v>9</v>
      </c>
      <c r="H5" s="7">
        <f>SUMIF(B3:B125,"生活費",C3:C125)</f>
        <v>0</v>
      </c>
      <c r="I5" s="3" t="s">
        <v>12</v>
      </c>
      <c r="J5" s="7">
        <f>SUMIF($D$3:$D$125,"売上金",$E$3:$E$125)</f>
        <v>0</v>
      </c>
    </row>
    <row r="6" spans="1:10">
      <c r="A6" s="1"/>
      <c r="B6" s="6"/>
      <c r="C6" s="5"/>
      <c r="D6" s="6"/>
      <c r="E6" s="4"/>
      <c r="G6" s="3" t="s">
        <v>7</v>
      </c>
      <c r="H6" s="7">
        <f>SUMIF(B3:B125,"交通費",C3:C125)</f>
        <v>0</v>
      </c>
      <c r="I6" s="3" t="s">
        <v>8</v>
      </c>
      <c r="J6" s="7">
        <f>SUMIF($D$3:$D$125,"食費",$E$3:$E$125)</f>
        <v>0</v>
      </c>
    </row>
    <row r="7" spans="1:10">
      <c r="A7" s="1"/>
      <c r="B7" s="6"/>
      <c r="C7" s="5"/>
      <c r="D7" s="6"/>
      <c r="E7" s="4"/>
      <c r="G7" s="3" t="s">
        <v>15</v>
      </c>
      <c r="H7" s="7">
        <f>SUMIF(B3:B125,"娯楽費",C3:C125)</f>
        <v>0</v>
      </c>
      <c r="I7" s="3" t="s">
        <v>7</v>
      </c>
      <c r="J7" s="7">
        <f>SUMIF($D$3:$D$125,"交通費",$E$3:$E$125)</f>
        <v>0</v>
      </c>
    </row>
    <row r="8" spans="1:10">
      <c r="A8" s="1"/>
      <c r="B8" s="6"/>
      <c r="C8" s="5"/>
      <c r="D8" s="6"/>
      <c r="E8" s="4"/>
      <c r="G8" s="3" t="s">
        <v>10</v>
      </c>
      <c r="H8" s="7">
        <f>SUMIF(B3:B125,"携帯電話料金",C3:C125)</f>
        <v>0</v>
      </c>
      <c r="I8" s="3" t="s">
        <v>9</v>
      </c>
      <c r="J8" s="7">
        <f>SUMIF($D$3:$D$125,"生活費",$E$3:$E$125)</f>
        <v>0</v>
      </c>
    </row>
    <row r="9" spans="1:10">
      <c r="A9" s="1"/>
      <c r="B9" s="6"/>
      <c r="C9" s="5"/>
      <c r="D9" s="6"/>
      <c r="E9" s="4"/>
      <c r="G9" s="3" t="s">
        <v>16</v>
      </c>
      <c r="H9" s="7">
        <f>SUMIF(B3:B125,"自己研鑽費",C3:C125)</f>
        <v>0</v>
      </c>
      <c r="I9" s="3" t="s">
        <v>13</v>
      </c>
      <c r="J9" s="7">
        <f>SUMIF($D$3:$D$125,"雑益",$E$3:$E$125)</f>
        <v>0</v>
      </c>
    </row>
    <row r="10" spans="1:10">
      <c r="A10" s="1"/>
      <c r="B10" s="6"/>
      <c r="C10" s="5"/>
      <c r="D10" s="6"/>
      <c r="E10" s="4"/>
      <c r="G10" s="3" t="s">
        <v>17</v>
      </c>
      <c r="H10" s="7">
        <f>SUMIF(B3:B125,"会社立替費",C3:C125)</f>
        <v>0</v>
      </c>
      <c r="I10" s="3" t="s">
        <v>14</v>
      </c>
      <c r="J10" s="7">
        <f>SUMIF($D$3:$D$125,"クレジット",$E$3:$E$125)</f>
        <v>0</v>
      </c>
    </row>
    <row r="11" spans="1:10">
      <c r="A11" s="1"/>
      <c r="B11" s="6"/>
      <c r="C11" s="5"/>
      <c r="D11" s="6"/>
      <c r="E11" s="4"/>
      <c r="G11" s="3" t="s">
        <v>19</v>
      </c>
      <c r="H11" s="7">
        <f>SUMIF(B4:B126,"当座預金",C4:C126)</f>
        <v>0</v>
      </c>
      <c r="I11" s="3" t="s">
        <v>19</v>
      </c>
      <c r="J11" s="7">
        <f>SUMIF($D$3:$D$125,"当座預金",$E$3:$E$125)</f>
        <v>0</v>
      </c>
    </row>
    <row r="12" spans="1:10">
      <c r="A12" s="1"/>
      <c r="B12" s="6"/>
      <c r="C12" s="5"/>
      <c r="D12" s="6"/>
      <c r="E12" s="4"/>
      <c r="G12" s="3" t="s">
        <v>27</v>
      </c>
      <c r="H12" s="7">
        <f>SUMIF($B$3:$B$127,"医療費",$C$3:$C$127)</f>
        <v>0</v>
      </c>
    </row>
    <row r="13" spans="1:10">
      <c r="A13" s="1"/>
      <c r="B13" s="6"/>
      <c r="C13" s="5"/>
      <c r="D13" s="6"/>
      <c r="E13" s="4"/>
      <c r="G13" s="3" t="s">
        <v>28</v>
      </c>
      <c r="H13" s="7">
        <f>SUMIF($B$3:$B$127,"備品費",$C$3:$C$127)</f>
        <v>0</v>
      </c>
    </row>
    <row r="14" spans="1:10">
      <c r="A14" s="1"/>
      <c r="B14" s="6"/>
      <c r="C14" s="5"/>
      <c r="D14" s="6"/>
      <c r="E14" s="4"/>
      <c r="G14" s="3" t="s">
        <v>33</v>
      </c>
      <c r="H14" s="7">
        <f>SUMIF($B$3:$B$127,OR("家賃料","駐輪場代"),$C$3:$C$127)</f>
        <v>0</v>
      </c>
    </row>
    <row r="15" spans="1:10">
      <c r="A15" s="1"/>
      <c r="B15" s="6"/>
      <c r="C15" s="5"/>
      <c r="D15" s="6"/>
      <c r="E15" s="4"/>
      <c r="G15" s="3" t="s">
        <v>34</v>
      </c>
      <c r="H15" s="7">
        <f>SUMIF($B$3:$B$127,"水道料金",$C$3:$C$127)</f>
        <v>0</v>
      </c>
    </row>
    <row r="16" spans="1:10">
      <c r="A16" s="1"/>
      <c r="B16" s="6"/>
      <c r="C16" s="5"/>
      <c r="D16" s="6"/>
      <c r="E16" s="4"/>
      <c r="G16" s="3" t="s">
        <v>35</v>
      </c>
      <c r="H16" s="7">
        <f>SUMIF($B$3:$B$127,"電気料金",$C$3:$C$127)</f>
        <v>0</v>
      </c>
    </row>
    <row r="17" spans="1:14">
      <c r="A17" s="1"/>
      <c r="B17" s="6"/>
      <c r="C17" s="5"/>
      <c r="D17" s="6"/>
      <c r="E17" s="4"/>
      <c r="G17" s="3" t="s">
        <v>32</v>
      </c>
      <c r="H17" s="7">
        <f>SUMIF($B$3:$B$127,"ガス料金",$C$3:$C$127)</f>
        <v>0</v>
      </c>
    </row>
    <row r="18" spans="1:14">
      <c r="A18" s="1"/>
      <c r="B18" s="6"/>
      <c r="C18" s="5"/>
      <c r="D18" s="6"/>
      <c r="E18" s="4"/>
      <c r="G18" s="42" t="s">
        <v>31</v>
      </c>
      <c r="H18" s="7">
        <f>SUMIF($B$3:$B$134,"交際費",$C$3:$C$134)</f>
        <v>0</v>
      </c>
    </row>
    <row r="19" spans="1:14">
      <c r="A19" s="1"/>
      <c r="B19" s="6"/>
      <c r="C19" s="4"/>
      <c r="D19" s="6"/>
      <c r="E19" s="4"/>
      <c r="G19" s="42" t="s">
        <v>61</v>
      </c>
      <c r="H19" s="7">
        <f>SUMIF($B$3:$B$129,"雑費",$C$3:$C$129)</f>
        <v>0</v>
      </c>
    </row>
    <row r="20" spans="1:14" ht="19.5" thickBot="1">
      <c r="A20" s="1"/>
      <c r="B20" s="6"/>
      <c r="C20" s="4"/>
      <c r="D20" s="6"/>
      <c r="E20" s="4"/>
    </row>
    <row r="21" spans="1:14" ht="19.5" thickBot="1">
      <c r="A21" s="1"/>
      <c r="B21" s="6"/>
      <c r="C21" s="5"/>
      <c r="D21" s="6"/>
      <c r="E21" s="4"/>
      <c r="L21" s="15" t="s">
        <v>93</v>
      </c>
    </row>
    <row r="22" spans="1:14" ht="19.5" thickBot="1">
      <c r="A22" s="1"/>
      <c r="B22" s="6"/>
      <c r="C22" s="5"/>
      <c r="D22" s="6"/>
      <c r="E22" s="4"/>
      <c r="G22" s="17" t="s">
        <v>18</v>
      </c>
      <c r="L22" s="72" t="s">
        <v>89</v>
      </c>
      <c r="M22" s="73"/>
      <c r="N22" s="84">
        <f>'12月'!N25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'12月'!N29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0"/>
      <c r="G33" s="46" t="s">
        <v>33</v>
      </c>
      <c r="H33" s="45">
        <f>H14</f>
        <v>0</v>
      </c>
      <c r="I33" s="10"/>
    </row>
    <row r="34" spans="1:9">
      <c r="A34" s="1"/>
      <c r="B34" s="6"/>
      <c r="C34" s="5"/>
      <c r="D34" s="6"/>
      <c r="E34" s="4"/>
      <c r="F34" s="40"/>
      <c r="G34" s="83" t="s">
        <v>34</v>
      </c>
      <c r="H34" s="45">
        <f>H15</f>
        <v>0</v>
      </c>
      <c r="I34" s="10"/>
    </row>
    <row r="35" spans="1:9">
      <c r="A35" s="1"/>
      <c r="B35" s="6"/>
      <c r="C35" s="5"/>
      <c r="D35" s="6"/>
      <c r="E35" s="4"/>
      <c r="F35" s="40"/>
      <c r="G35" s="83" t="s">
        <v>35</v>
      </c>
      <c r="H35" s="45">
        <f>H16</f>
        <v>0</v>
      </c>
      <c r="I35" s="10"/>
    </row>
    <row r="36" spans="1:9">
      <c r="A36" s="1"/>
      <c r="B36" s="6"/>
      <c r="C36" s="5"/>
      <c r="D36" s="6"/>
      <c r="E36" s="4"/>
      <c r="F36" s="40"/>
      <c r="G36" s="83" t="s">
        <v>32</v>
      </c>
      <c r="H36" s="45">
        <f t="shared" ref="H36" si="0">H17</f>
        <v>0</v>
      </c>
      <c r="I36" s="10"/>
    </row>
    <row r="37" spans="1:9">
      <c r="A37" s="1"/>
      <c r="B37" s="6"/>
      <c r="C37" s="5"/>
      <c r="D37" s="6"/>
      <c r="E37" s="4"/>
      <c r="F37" s="40"/>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ht="19.5" thickBot="1">
      <c r="A47" s="1"/>
      <c r="B47" s="6"/>
      <c r="C47" s="5"/>
      <c r="D47" s="6"/>
      <c r="E47" s="4"/>
      <c r="G47" s="12"/>
      <c r="H47" s="13"/>
      <c r="I47" s="1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2"/>
    </row>
    <row r="127" spans="1:5">
      <c r="A127" s="2"/>
    </row>
    <row r="128" spans="1:5">
      <c r="A128" s="2"/>
    </row>
  </sheetData>
  <autoFilter ref="A2:E2" xr:uid="{D95ABEFB-5CE2-4344-8392-8190DE85C363}"/>
  <mergeCells count="1">
    <mergeCell ref="B1:E1"/>
  </mergeCells>
  <phoneticPr fontId="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transcribe">
                <anchor moveWithCells="1" sizeWithCells="1">
                  <from>
                    <xdr:col>11</xdr:col>
                    <xdr:colOff>95250</xdr:colOff>
                    <xdr:row>1</xdr:row>
                    <xdr:rowOff>209550</xdr:rowOff>
                  </from>
                  <to>
                    <xdr:col>13</xdr:col>
                    <xdr:colOff>523875</xdr:colOff>
                    <xdr:row>5</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90BA7-40C2-4522-AD1D-C264BE6EB5E6}">
  <sheetPr codeName="Sheet11"/>
  <dimension ref="A1:N128"/>
  <sheetViews>
    <sheetView workbookViewId="0">
      <selection activeCell="A6" sqref="A6"/>
    </sheetView>
  </sheetViews>
  <sheetFormatPr defaultRowHeight="18.75"/>
  <cols>
    <col min="2" max="2" width="10.125" bestFit="1" customWidth="1"/>
    <col min="3" max="3" width="10" bestFit="1" customWidth="1"/>
    <col min="4" max="4" width="10.125" bestFit="1" customWidth="1"/>
    <col min="5" max="5" width="10" bestFit="1" customWidth="1"/>
    <col min="7" max="7" width="17.125" customWidth="1"/>
    <col min="9" max="9" width="10.125" bestFit="1" customWidth="1"/>
    <col min="12" max="12" width="14" bestFit="1" customWidth="1"/>
    <col min="14" max="14" width="10"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7"/>
      <c r="B3" s="51"/>
      <c r="C3" s="104"/>
      <c r="D3" s="51"/>
      <c r="E3" s="65"/>
      <c r="G3" s="94" t="s">
        <v>6</v>
      </c>
      <c r="H3" s="95">
        <f>SUMIF(B3:B125,"現金",C3:C125)</f>
        <v>0</v>
      </c>
      <c r="I3" s="94" t="s">
        <v>6</v>
      </c>
      <c r="J3" s="95">
        <f>SUMIF($D$3:$D$125,"現金",$E$3:$E$125)</f>
        <v>0</v>
      </c>
    </row>
    <row r="4" spans="1:10">
      <c r="A4" s="1"/>
      <c r="B4" s="6"/>
      <c r="C4" s="5"/>
      <c r="D4" s="6"/>
      <c r="E4" s="4"/>
      <c r="G4" s="3" t="s">
        <v>8</v>
      </c>
      <c r="H4" s="7">
        <f>SUMIF($B$3:$B$125,"食費",$C$3:$C$125)</f>
        <v>0</v>
      </c>
      <c r="I4" s="3" t="s">
        <v>11</v>
      </c>
      <c r="J4" s="7">
        <f>SUMIF($D$3:$D$125,"給料",$E$3:$E$125)</f>
        <v>0</v>
      </c>
    </row>
    <row r="5" spans="1:10">
      <c r="A5" s="1"/>
      <c r="B5" s="6"/>
      <c r="C5" s="5"/>
      <c r="D5" s="6"/>
      <c r="E5" s="4"/>
      <c r="G5" s="3" t="s">
        <v>9</v>
      </c>
      <c r="H5" s="7">
        <f>SUMIF(B3:B125,"生活費",C3:C125)</f>
        <v>0</v>
      </c>
      <c r="I5" s="3" t="s">
        <v>12</v>
      </c>
      <c r="J5" s="7">
        <f>SUMIF($D$3:$D$125,"売上金",$E$3:$E$125)</f>
        <v>0</v>
      </c>
    </row>
    <row r="6" spans="1:10">
      <c r="A6" s="1"/>
      <c r="B6" s="6"/>
      <c r="C6" s="5"/>
      <c r="D6" s="6"/>
      <c r="E6" s="4"/>
      <c r="G6" s="3" t="s">
        <v>7</v>
      </c>
      <c r="H6" s="7">
        <f>SUMIF(B3:B125,"交通費",C3:C125)</f>
        <v>0</v>
      </c>
      <c r="I6" s="3" t="s">
        <v>8</v>
      </c>
      <c r="J6" s="7">
        <f>SUMIF($D$3:$D$125,"食費",$E$3:$E$125)</f>
        <v>0</v>
      </c>
    </row>
    <row r="7" spans="1:10">
      <c r="A7" s="1"/>
      <c r="B7" s="6"/>
      <c r="C7" s="5"/>
      <c r="D7" s="6"/>
      <c r="E7" s="4"/>
      <c r="G7" s="3" t="s">
        <v>15</v>
      </c>
      <c r="H7" s="7">
        <f>SUMIF(B3:B125,"娯楽費",C3:C125)</f>
        <v>0</v>
      </c>
      <c r="I7" s="3" t="s">
        <v>7</v>
      </c>
      <c r="J7" s="7">
        <f>SUMIF($D$3:$D$125,"交通費",$E$3:$E$125)</f>
        <v>0</v>
      </c>
    </row>
    <row r="8" spans="1:10">
      <c r="A8" s="1"/>
      <c r="B8" s="6"/>
      <c r="C8" s="5"/>
      <c r="D8" s="6"/>
      <c r="E8" s="4"/>
      <c r="G8" s="3" t="s">
        <v>10</v>
      </c>
      <c r="H8" s="7">
        <f>SUMIF(B3:B125,"携帯電話料金",C3:C125)</f>
        <v>0</v>
      </c>
      <c r="I8" s="3" t="s">
        <v>9</v>
      </c>
      <c r="J8" s="7">
        <f>SUMIF($D$3:$D$125,"生活費",$E$3:$E$125)</f>
        <v>0</v>
      </c>
    </row>
    <row r="9" spans="1:10">
      <c r="A9" s="1"/>
      <c r="B9" s="6"/>
      <c r="C9" s="5"/>
      <c r="D9" s="6"/>
      <c r="E9" s="4"/>
      <c r="G9" s="3" t="s">
        <v>16</v>
      </c>
      <c r="H9" s="7">
        <f>SUMIF(B3:B125,"自己研鑽費",C3:C125)</f>
        <v>0</v>
      </c>
      <c r="I9" s="3" t="s">
        <v>13</v>
      </c>
      <c r="J9" s="7">
        <f>SUMIF($D$3:$D$125,"雑益",$E$3:$E$125)</f>
        <v>0</v>
      </c>
    </row>
    <row r="10" spans="1:10">
      <c r="A10" s="1"/>
      <c r="B10" s="6"/>
      <c r="C10" s="5"/>
      <c r="D10" s="6"/>
      <c r="E10" s="4"/>
      <c r="G10" s="3" t="s">
        <v>17</v>
      </c>
      <c r="H10" s="7">
        <f>SUMIF(B3:B125,"会社立替費",C3:C125)</f>
        <v>0</v>
      </c>
      <c r="I10" s="3" t="s">
        <v>14</v>
      </c>
      <c r="J10" s="7">
        <f>SUMIF($D$3:$D$125,"クレジット",$E$3:$E$125)</f>
        <v>0</v>
      </c>
    </row>
    <row r="11" spans="1:10">
      <c r="A11" s="1"/>
      <c r="B11" s="6"/>
      <c r="C11" s="5"/>
      <c r="D11" s="6"/>
      <c r="E11" s="4"/>
      <c r="G11" s="3" t="s">
        <v>19</v>
      </c>
      <c r="H11" s="7">
        <f>SUMIF(B4:B126,"当座預金",C4:C126)</f>
        <v>0</v>
      </c>
      <c r="I11" s="3" t="s">
        <v>19</v>
      </c>
      <c r="J11" s="7">
        <f>SUMIF($D$3:$D$125,"当座預金",$E$3:$E$125)</f>
        <v>0</v>
      </c>
    </row>
    <row r="12" spans="1:10">
      <c r="A12" s="1"/>
      <c r="B12" s="6"/>
      <c r="C12" s="5"/>
      <c r="D12" s="6"/>
      <c r="E12" s="4"/>
      <c r="G12" s="3" t="s">
        <v>27</v>
      </c>
      <c r="H12" s="7">
        <f>SUMIF($B$3:$B$127,"医療費",$C$3:$C$127)</f>
        <v>0</v>
      </c>
    </row>
    <row r="13" spans="1:10">
      <c r="A13" s="1"/>
      <c r="B13" s="6"/>
      <c r="C13" s="5"/>
      <c r="D13" s="6"/>
      <c r="E13" s="4"/>
      <c r="G13" s="3" t="s">
        <v>28</v>
      </c>
      <c r="H13" s="7">
        <f>SUMIF($B$3:$B$127,"備品費",$C$3:$C$127)</f>
        <v>0</v>
      </c>
    </row>
    <row r="14" spans="1:10">
      <c r="A14" s="1"/>
      <c r="B14" s="6"/>
      <c r="C14" s="5"/>
      <c r="D14" s="6"/>
      <c r="E14" s="4"/>
      <c r="G14" s="3" t="s">
        <v>33</v>
      </c>
      <c r="H14" s="7">
        <f>SUMIF($B$3:$B$127,OR("家賃料","駐輪場代"),$C$3:$C$127)</f>
        <v>0</v>
      </c>
    </row>
    <row r="15" spans="1:10">
      <c r="A15" s="1"/>
      <c r="B15" s="6"/>
      <c r="C15" s="5"/>
      <c r="D15" s="6"/>
      <c r="E15" s="4"/>
      <c r="G15" s="3" t="s">
        <v>34</v>
      </c>
      <c r="H15" s="7">
        <f>SUMIF($B$3:$B$127,"水道料金",$C$3:$C$127)</f>
        <v>0</v>
      </c>
    </row>
    <row r="16" spans="1:10">
      <c r="A16" s="1"/>
      <c r="B16" s="6"/>
      <c r="C16" s="5"/>
      <c r="D16" s="6"/>
      <c r="E16" s="4"/>
      <c r="G16" s="3" t="s">
        <v>35</v>
      </c>
      <c r="H16" s="7">
        <f>SUMIF($B$3:$B$127,"電気料金",$C$3:$C$127)</f>
        <v>0</v>
      </c>
    </row>
    <row r="17" spans="1:14">
      <c r="A17" s="1"/>
      <c r="B17" s="6"/>
      <c r="C17" s="5"/>
      <c r="D17" s="6"/>
      <c r="E17" s="4"/>
      <c r="G17" s="3" t="s">
        <v>32</v>
      </c>
      <c r="H17" s="7">
        <f>SUMIF($B$3:$B$127,"ガス料金",$C$3:$C$127)</f>
        <v>0</v>
      </c>
    </row>
    <row r="18" spans="1:14">
      <c r="A18" s="1"/>
      <c r="B18" s="6"/>
      <c r="C18" s="5"/>
      <c r="D18" s="6"/>
      <c r="E18" s="4"/>
      <c r="G18" s="42" t="s">
        <v>31</v>
      </c>
      <c r="H18" s="7">
        <f>SUMIF($B$3:$B$135,"交際費",$C$3:$C$135)</f>
        <v>0</v>
      </c>
    </row>
    <row r="19" spans="1:14">
      <c r="A19" s="1"/>
      <c r="B19" s="6"/>
      <c r="C19" s="5"/>
      <c r="D19" s="6"/>
      <c r="E19" s="4"/>
      <c r="G19" s="42" t="s">
        <v>61</v>
      </c>
      <c r="H19" s="7">
        <f>SUMIF($B$3:$B$129,"雑費",$C$3:$C$129)</f>
        <v>0</v>
      </c>
    </row>
    <row r="20" spans="1:14" ht="19.5" thickBot="1">
      <c r="A20" s="1"/>
      <c r="B20" s="6"/>
      <c r="C20" s="5"/>
      <c r="D20" s="6"/>
      <c r="E20" s="4"/>
    </row>
    <row r="21" spans="1:14" ht="19.5" thickBot="1">
      <c r="A21" s="1"/>
      <c r="B21" s="6"/>
      <c r="C21" s="5"/>
      <c r="D21" s="6"/>
      <c r="E21" s="4"/>
      <c r="L21" s="15" t="s">
        <v>93</v>
      </c>
    </row>
    <row r="22" spans="1:14" ht="19.5" thickBot="1">
      <c r="A22" s="1"/>
      <c r="B22" s="6"/>
      <c r="C22" s="5"/>
      <c r="D22" s="6"/>
      <c r="E22" s="4"/>
      <c r="G22" s="17" t="s">
        <v>18</v>
      </c>
      <c r="L22" s="72" t="s">
        <v>89</v>
      </c>
      <c r="M22" s="73"/>
      <c r="N22" s="84">
        <f>'1月'!N25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'1月'!N29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0"/>
      <c r="G33" s="46" t="s">
        <v>33</v>
      </c>
      <c r="H33" s="45">
        <f>H14</f>
        <v>0</v>
      </c>
      <c r="I33" s="10"/>
    </row>
    <row r="34" spans="1:9">
      <c r="A34" s="1"/>
      <c r="B34" s="6"/>
      <c r="C34" s="5"/>
      <c r="D34" s="6"/>
      <c r="E34" s="4"/>
      <c r="F34" s="40"/>
      <c r="G34" s="83" t="s">
        <v>34</v>
      </c>
      <c r="H34" s="45">
        <f>H15</f>
        <v>0</v>
      </c>
      <c r="I34" s="10"/>
    </row>
    <row r="35" spans="1:9">
      <c r="A35" s="1"/>
      <c r="B35" s="6"/>
      <c r="C35" s="5"/>
      <c r="D35" s="6"/>
      <c r="E35" s="4"/>
      <c r="F35" s="40"/>
      <c r="G35" s="83" t="s">
        <v>35</v>
      </c>
      <c r="H35" s="45">
        <f>H16</f>
        <v>0</v>
      </c>
      <c r="I35" s="10"/>
    </row>
    <row r="36" spans="1:9">
      <c r="A36" s="1"/>
      <c r="B36" s="6"/>
      <c r="C36" s="5"/>
      <c r="D36" s="6"/>
      <c r="E36" s="4"/>
      <c r="F36" s="40"/>
      <c r="G36" s="83" t="s">
        <v>32</v>
      </c>
      <c r="H36" s="45">
        <f t="shared" ref="H36" si="0">H17</f>
        <v>0</v>
      </c>
      <c r="I36" s="10"/>
    </row>
    <row r="37" spans="1:9">
      <c r="A37" s="1"/>
      <c r="B37" s="6"/>
      <c r="C37" s="5"/>
      <c r="D37" s="6"/>
      <c r="E37" s="4"/>
      <c r="F37" s="40"/>
      <c r="G37" s="83" t="s">
        <v>61</v>
      </c>
      <c r="H37" s="45">
        <f>H19</f>
        <v>0</v>
      </c>
      <c r="I37" s="10"/>
    </row>
    <row r="38" spans="1:9">
      <c r="A38" s="1"/>
      <c r="B38" s="6"/>
      <c r="C38" s="5"/>
      <c r="D38" s="6"/>
      <c r="E38" s="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ht="19.5" thickBot="1">
      <c r="A47" s="1"/>
      <c r="B47" s="6"/>
      <c r="C47" s="5"/>
      <c r="D47" s="6"/>
      <c r="E47" s="4"/>
      <c r="G47" s="12"/>
      <c r="H47" s="13"/>
      <c r="I47" s="14"/>
    </row>
    <row r="48" spans="1:9">
      <c r="A48" s="1"/>
      <c r="B48" s="6"/>
      <c r="C48" s="5"/>
      <c r="D48" s="6"/>
      <c r="E48" s="4"/>
    </row>
    <row r="49" spans="1:5">
      <c r="A49" s="2"/>
      <c r="B49" s="6"/>
      <c r="C49" s="5"/>
      <c r="D49" s="6"/>
      <c r="E49" s="4"/>
    </row>
    <row r="50" spans="1:5">
      <c r="A50" s="1"/>
      <c r="B50" s="6"/>
      <c r="C50" s="5"/>
      <c r="D50" s="6"/>
      <c r="E50" s="4"/>
    </row>
    <row r="51" spans="1:5">
      <c r="A51" s="1"/>
      <c r="B51" s="6"/>
      <c r="C51" s="4"/>
      <c r="D51" s="58"/>
      <c r="E51" s="4"/>
    </row>
    <row r="52" spans="1:5">
      <c r="A52" s="1"/>
      <c r="B52" s="6"/>
      <c r="C52" s="5"/>
      <c r="D52" s="6"/>
      <c r="E52" s="59"/>
    </row>
    <row r="53" spans="1:5">
      <c r="A53" s="1"/>
      <c r="B53" s="6"/>
      <c r="C53" s="5"/>
      <c r="D53" s="51"/>
      <c r="E53" s="4"/>
    </row>
    <row r="54" spans="1:5">
      <c r="A54" s="1"/>
      <c r="B54" s="6"/>
      <c r="C54" s="5"/>
      <c r="D54" s="6"/>
      <c r="E54" s="4"/>
    </row>
    <row r="55" spans="1:5">
      <c r="A55" s="1"/>
      <c r="B55" s="6"/>
      <c r="C55" s="5"/>
      <c r="D55" s="6"/>
      <c r="E55" s="4"/>
    </row>
    <row r="56" spans="1:5">
      <c r="A56" s="1"/>
      <c r="B56" s="6"/>
      <c r="C56" s="5"/>
      <c r="D56" s="6"/>
      <c r="E56" s="4"/>
    </row>
    <row r="57" spans="1:5">
      <c r="A57" s="1"/>
      <c r="B57" s="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1"/>
      <c r="B125" s="6"/>
      <c r="C125" s="5"/>
      <c r="D125" s="6"/>
      <c r="E125" s="4"/>
    </row>
    <row r="126" spans="1:5">
      <c r="A126" s="2"/>
    </row>
    <row r="127" spans="1:5">
      <c r="A127" s="2"/>
    </row>
    <row r="128" spans="1:5">
      <c r="A128" s="2"/>
    </row>
  </sheetData>
  <mergeCells count="1">
    <mergeCell ref="B1:E1"/>
  </mergeCells>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ranscribe">
                <anchor moveWithCells="1" sizeWithCells="1">
                  <from>
                    <xdr:col>10</xdr:col>
                    <xdr:colOff>666750</xdr:colOff>
                    <xdr:row>1</xdr:row>
                    <xdr:rowOff>200025</xdr:rowOff>
                  </from>
                  <to>
                    <xdr:col>13</xdr:col>
                    <xdr:colOff>409575</xdr:colOff>
                    <xdr:row>5</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B4FEC-B148-4D82-9D6D-FDE2C0BDFDA3}">
  <sheetPr codeName="Sheet12"/>
  <dimension ref="A1:N127"/>
  <sheetViews>
    <sheetView workbookViewId="0">
      <selection activeCell="A6" sqref="A6"/>
    </sheetView>
  </sheetViews>
  <sheetFormatPr defaultRowHeight="18.75"/>
  <cols>
    <col min="2" max="2" width="10.125" bestFit="1" customWidth="1"/>
    <col min="3" max="3" width="11.375" bestFit="1" customWidth="1"/>
    <col min="4" max="4" width="10.125" bestFit="1" customWidth="1"/>
    <col min="5" max="5" width="10" bestFit="1" customWidth="1"/>
    <col min="7" max="7" width="17.375" customWidth="1"/>
    <col min="9" max="9" width="10.125" bestFit="1" customWidth="1"/>
    <col min="12" max="12" width="14" bestFit="1" customWidth="1"/>
    <col min="14" max="14" width="10" bestFit="1" customWidth="1"/>
  </cols>
  <sheetData>
    <row r="1" spans="1:10" ht="19.5" thickBot="1">
      <c r="B1" s="109" t="s">
        <v>0</v>
      </c>
      <c r="C1" s="110"/>
      <c r="D1" s="110"/>
      <c r="E1" s="111"/>
      <c r="G1" s="16" t="s">
        <v>5</v>
      </c>
    </row>
    <row r="2" spans="1:10" ht="19.5" thickBot="1">
      <c r="A2" s="105" t="s">
        <v>1</v>
      </c>
      <c r="B2" s="96" t="s">
        <v>3</v>
      </c>
      <c r="C2" s="106" t="s">
        <v>2</v>
      </c>
      <c r="D2" s="96" t="s">
        <v>4</v>
      </c>
      <c r="E2" s="97" t="s">
        <v>2</v>
      </c>
      <c r="G2" s="96" t="s">
        <v>3</v>
      </c>
      <c r="H2" s="97" t="s">
        <v>2</v>
      </c>
      <c r="I2" s="98" t="s">
        <v>4</v>
      </c>
      <c r="J2" s="97" t="s">
        <v>2</v>
      </c>
    </row>
    <row r="3" spans="1:10">
      <c r="A3" s="103"/>
      <c r="B3" s="51"/>
      <c r="C3" s="104"/>
      <c r="D3" s="51"/>
      <c r="E3" s="108"/>
      <c r="G3" s="94" t="s">
        <v>6</v>
      </c>
      <c r="H3" s="95">
        <f>SUMIF(B3:B124,"現金",C3:C124)</f>
        <v>0</v>
      </c>
      <c r="I3" s="94" t="s">
        <v>6</v>
      </c>
      <c r="J3" s="95">
        <f>SUMIF($D$3:$D$124,"現金",$E$3:$E$124)</f>
        <v>0</v>
      </c>
    </row>
    <row r="4" spans="1:10">
      <c r="A4" s="1"/>
      <c r="B4" s="6"/>
      <c r="C4" s="5"/>
      <c r="D4" s="47"/>
      <c r="E4" s="63"/>
      <c r="G4" s="3" t="s">
        <v>8</v>
      </c>
      <c r="H4" s="7">
        <f>SUMIF($B$3:$B$124,"食費",$C$3:$C$124)</f>
        <v>0</v>
      </c>
      <c r="I4" s="3" t="s">
        <v>11</v>
      </c>
      <c r="J4" s="7">
        <f>SUMIF($D$3:$D$124,"給料",$E$3:$E$124)</f>
        <v>0</v>
      </c>
    </row>
    <row r="5" spans="1:10">
      <c r="A5" s="1"/>
      <c r="B5" s="6"/>
      <c r="C5" s="5"/>
      <c r="D5" s="6"/>
      <c r="E5" s="65"/>
      <c r="G5" s="3" t="s">
        <v>9</v>
      </c>
      <c r="H5" s="7">
        <f>SUMIF(B3:B124,"生活費",C3:C124)</f>
        <v>0</v>
      </c>
      <c r="I5" s="3" t="s">
        <v>12</v>
      </c>
      <c r="J5" s="7">
        <f>SUMIF($D$3:$D$124,"売上金",$E$3:$E$124)</f>
        <v>0</v>
      </c>
    </row>
    <row r="6" spans="1:10">
      <c r="A6" s="1"/>
      <c r="B6" s="6"/>
      <c r="C6" s="5"/>
      <c r="D6" s="6"/>
      <c r="E6" s="4"/>
      <c r="G6" s="3" t="s">
        <v>7</v>
      </c>
      <c r="H6" s="7">
        <f>SUMIF(B3:B124,"交通費",C3:C124)</f>
        <v>0</v>
      </c>
      <c r="I6" s="3" t="s">
        <v>8</v>
      </c>
      <c r="J6" s="7">
        <f>SUMIF($D$3:$D$124,"食費",$E$3:$E$124)</f>
        <v>0</v>
      </c>
    </row>
    <row r="7" spans="1:10">
      <c r="A7" s="1"/>
      <c r="B7" s="6"/>
      <c r="C7" s="5"/>
      <c r="D7" s="6"/>
      <c r="E7" s="4"/>
      <c r="G7" s="3" t="s">
        <v>15</v>
      </c>
      <c r="H7" s="7">
        <f>SUMIF(B3:B124,"娯楽費",C3:C124)</f>
        <v>0</v>
      </c>
      <c r="I7" s="3" t="s">
        <v>7</v>
      </c>
      <c r="J7" s="7">
        <f>SUMIF($D$3:$D$124,"交通費",$E$3:$E$124)</f>
        <v>0</v>
      </c>
    </row>
    <row r="8" spans="1:10">
      <c r="A8" s="1"/>
      <c r="B8" s="6"/>
      <c r="C8" s="5"/>
      <c r="D8" s="6"/>
      <c r="E8" s="64"/>
      <c r="G8" s="3" t="s">
        <v>10</v>
      </c>
      <c r="H8" s="7">
        <f>SUMIF(B3:B124,"携帯電話料金",C3:C124)</f>
        <v>0</v>
      </c>
      <c r="I8" s="3" t="s">
        <v>9</v>
      </c>
      <c r="J8" s="7">
        <f>SUMIF($D$3:$D$124,"生活費",$E$3:$E$124)</f>
        <v>0</v>
      </c>
    </row>
    <row r="9" spans="1:10">
      <c r="A9" s="1"/>
      <c r="B9" s="6"/>
      <c r="C9" s="5"/>
      <c r="D9" s="47"/>
      <c r="E9" s="63"/>
      <c r="G9" s="3" t="s">
        <v>16</v>
      </c>
      <c r="H9" s="7">
        <f>SUMIF(B3:B124,"自己研鑽費",C3:C124)</f>
        <v>0</v>
      </c>
      <c r="I9" s="3" t="s">
        <v>13</v>
      </c>
      <c r="J9" s="7">
        <f>SUMIF($D$3:$D$124,"雑益",$E$3:$E$124)</f>
        <v>0</v>
      </c>
    </row>
    <row r="10" spans="1:10">
      <c r="A10" s="1"/>
      <c r="B10" s="6"/>
      <c r="C10" s="5"/>
      <c r="D10" s="47"/>
      <c r="E10" s="63"/>
      <c r="G10" s="3" t="s">
        <v>17</v>
      </c>
      <c r="H10" s="7">
        <f>SUMIF(B3:B124,"会社立替費",C3:C124)</f>
        <v>0</v>
      </c>
      <c r="I10" s="3" t="s">
        <v>14</v>
      </c>
      <c r="J10" s="7">
        <f>SUMIF($D$3:$D$124,"クレジット",$E$3:$E$124)</f>
        <v>0</v>
      </c>
    </row>
    <row r="11" spans="1:10">
      <c r="A11" s="1"/>
      <c r="B11" s="6"/>
      <c r="C11" s="5"/>
      <c r="D11" s="47"/>
      <c r="E11" s="63"/>
      <c r="G11" s="3" t="s">
        <v>19</v>
      </c>
      <c r="H11" s="7">
        <f>SUMIF(B4:B125,"当座預金",C4:C125)</f>
        <v>0</v>
      </c>
      <c r="I11" s="3" t="s">
        <v>19</v>
      </c>
      <c r="J11" s="7">
        <f>SUMIF($D$3:$D$124,"当座預金",$E$3:$E$124)</f>
        <v>0</v>
      </c>
    </row>
    <row r="12" spans="1:10">
      <c r="A12" s="1"/>
      <c r="B12" s="6"/>
      <c r="C12" s="5"/>
      <c r="D12" s="47"/>
      <c r="E12" s="63"/>
      <c r="G12" s="3" t="s">
        <v>27</v>
      </c>
      <c r="H12" s="7">
        <f>SUMIF($B$3:$B$126,"医療費",$C$3:$C$126)</f>
        <v>0</v>
      </c>
    </row>
    <row r="13" spans="1:10">
      <c r="A13" s="1"/>
      <c r="B13" s="6"/>
      <c r="C13" s="5"/>
      <c r="D13" s="47"/>
      <c r="E13" s="63"/>
      <c r="G13" s="3" t="s">
        <v>28</v>
      </c>
      <c r="H13" s="7">
        <f>SUMIF($B$3:$B$126,"備品費",$C$3:$C$126)</f>
        <v>0</v>
      </c>
    </row>
    <row r="14" spans="1:10">
      <c r="A14" s="1"/>
      <c r="B14" s="6"/>
      <c r="C14" s="5"/>
      <c r="D14" s="47"/>
      <c r="E14" s="63"/>
      <c r="G14" s="3" t="s">
        <v>33</v>
      </c>
      <c r="H14" s="7">
        <f>SUMIF($B$3:$B$126,OR("家賃料","駐輪場代"),$C$3:$C$126)</f>
        <v>0</v>
      </c>
    </row>
    <row r="15" spans="1:10">
      <c r="A15" s="1"/>
      <c r="B15" s="6"/>
      <c r="C15" s="5"/>
      <c r="D15" s="47"/>
      <c r="E15" s="63"/>
      <c r="G15" s="3" t="s">
        <v>34</v>
      </c>
      <c r="H15" s="7">
        <f>SUMIF($B$3:$B$126,"水道料金",$C$3:$C$126)</f>
        <v>0</v>
      </c>
    </row>
    <row r="16" spans="1:10">
      <c r="A16" s="1"/>
      <c r="B16" s="6"/>
      <c r="C16" s="5"/>
      <c r="D16" s="47"/>
      <c r="E16" s="63"/>
      <c r="G16" s="3" t="s">
        <v>35</v>
      </c>
      <c r="H16" s="7">
        <f>SUMIF($B$3:$B$126,"電気料金",$C$3:$C$126)</f>
        <v>0</v>
      </c>
    </row>
    <row r="17" spans="1:14">
      <c r="A17" s="1"/>
      <c r="B17" s="6"/>
      <c r="C17" s="5"/>
      <c r="D17" s="47"/>
      <c r="E17" s="63"/>
      <c r="G17" s="3" t="s">
        <v>32</v>
      </c>
      <c r="H17" s="7">
        <f>SUMIF($B$3:$B$126,"ガス料金",$C$3:$C$126)</f>
        <v>0</v>
      </c>
    </row>
    <row r="18" spans="1:14">
      <c r="A18" s="1"/>
      <c r="B18" s="6"/>
      <c r="C18" s="41"/>
      <c r="D18" s="6"/>
      <c r="E18" s="65"/>
      <c r="G18" s="42" t="s">
        <v>31</v>
      </c>
      <c r="H18" s="7">
        <f>SUMIF($B$3:$B$135,"交際費",$C$3:$C$135)</f>
        <v>0</v>
      </c>
    </row>
    <row r="19" spans="1:14">
      <c r="A19" s="1"/>
      <c r="B19" s="6"/>
      <c r="C19" s="5"/>
      <c r="D19" s="6"/>
      <c r="E19" s="4"/>
      <c r="G19" s="42" t="s">
        <v>61</v>
      </c>
      <c r="H19" s="7">
        <f>SUMIF($B$3:$B$129,"雑費",$C$3:$C$129)</f>
        <v>0</v>
      </c>
    </row>
    <row r="20" spans="1:14" ht="19.5" thickBot="1">
      <c r="A20" s="1"/>
      <c r="B20" s="6"/>
      <c r="C20" s="5"/>
      <c r="D20" s="6"/>
      <c r="E20" s="4"/>
    </row>
    <row r="21" spans="1:14" ht="19.5" thickBot="1">
      <c r="A21" s="1"/>
      <c r="B21" s="6"/>
      <c r="C21" s="5"/>
      <c r="D21" s="6"/>
      <c r="E21" s="4"/>
      <c r="L21" s="15" t="s">
        <v>93</v>
      </c>
    </row>
    <row r="22" spans="1:14" ht="19.5" thickBot="1">
      <c r="A22" s="1"/>
      <c r="B22" s="6"/>
      <c r="C22" s="5"/>
      <c r="D22" s="6"/>
      <c r="E22" s="4"/>
      <c r="G22" s="17" t="s">
        <v>18</v>
      </c>
      <c r="L22" s="72" t="s">
        <v>89</v>
      </c>
      <c r="M22" s="73"/>
      <c r="N22" s="84">
        <f>'2月'!N25</f>
        <v>2558752</v>
      </c>
    </row>
    <row r="23" spans="1:14">
      <c r="A23" s="1"/>
      <c r="B23" s="6"/>
      <c r="C23" s="5"/>
      <c r="D23" s="6"/>
      <c r="E23" s="4"/>
      <c r="G23" s="20" t="s">
        <v>8</v>
      </c>
      <c r="H23" s="18">
        <f>H4</f>
        <v>0</v>
      </c>
      <c r="I23" s="19"/>
      <c r="L23" s="75" t="s">
        <v>20</v>
      </c>
      <c r="M23" s="33">
        <f>J11</f>
        <v>0</v>
      </c>
      <c r="N23" s="76"/>
    </row>
    <row r="24" spans="1:14">
      <c r="A24" s="1"/>
      <c r="B24" s="6"/>
      <c r="C24" s="5"/>
      <c r="D24" s="6"/>
      <c r="E24" s="4"/>
      <c r="G24" s="21" t="s">
        <v>9</v>
      </c>
      <c r="H24" s="45">
        <f>H5</f>
        <v>0</v>
      </c>
      <c r="I24" s="10"/>
      <c r="L24" s="75" t="s">
        <v>21</v>
      </c>
      <c r="M24" s="33">
        <f>H11</f>
        <v>0</v>
      </c>
      <c r="N24" s="76"/>
    </row>
    <row r="25" spans="1:14" ht="19.5" thickBot="1">
      <c r="A25" s="1"/>
      <c r="B25" s="6"/>
      <c r="C25" s="5"/>
      <c r="D25" s="6"/>
      <c r="E25" s="4"/>
      <c r="G25" s="21" t="s">
        <v>7</v>
      </c>
      <c r="H25" s="45">
        <f>H6</f>
        <v>0</v>
      </c>
      <c r="I25" s="10"/>
      <c r="L25" s="77" t="s">
        <v>87</v>
      </c>
      <c r="M25" s="78"/>
      <c r="N25" s="79">
        <f>N22-M23+M24</f>
        <v>2558752</v>
      </c>
    </row>
    <row r="26" spans="1:14">
      <c r="A26" s="1"/>
      <c r="B26" s="6"/>
      <c r="C26" s="5"/>
      <c r="D26" s="6"/>
      <c r="E26" s="4"/>
      <c r="G26" s="21" t="s">
        <v>15</v>
      </c>
      <c r="H26" s="45">
        <f>H7</f>
        <v>0</v>
      </c>
      <c r="I26" s="10"/>
      <c r="L26" s="22" t="s">
        <v>90</v>
      </c>
      <c r="M26" s="80"/>
      <c r="N26" s="85">
        <f>'2月'!N29</f>
        <v>84115</v>
      </c>
    </row>
    <row r="27" spans="1:14">
      <c r="A27" s="1"/>
      <c r="B27" s="6"/>
      <c r="C27" s="5"/>
      <c r="D27" s="6"/>
      <c r="E27" s="4"/>
      <c r="G27" s="21" t="s">
        <v>16</v>
      </c>
      <c r="H27" s="45">
        <f>H9</f>
        <v>0</v>
      </c>
      <c r="I27" s="10"/>
      <c r="L27" s="75" t="s">
        <v>22</v>
      </c>
      <c r="M27" s="33">
        <f>J3</f>
        <v>0</v>
      </c>
      <c r="N27" s="76"/>
    </row>
    <row r="28" spans="1:14">
      <c r="A28" s="1"/>
      <c r="B28" s="6"/>
      <c r="C28" s="5"/>
      <c r="D28" s="6"/>
      <c r="E28" s="4"/>
      <c r="G28" s="21" t="s">
        <v>10</v>
      </c>
      <c r="H28" s="45">
        <f>H8</f>
        <v>0</v>
      </c>
      <c r="I28" s="10"/>
      <c r="L28" s="75" t="s">
        <v>23</v>
      </c>
      <c r="M28" s="33">
        <f>H3</f>
        <v>0</v>
      </c>
      <c r="N28" s="76"/>
    </row>
    <row r="29" spans="1:14" ht="19.5" thickBot="1">
      <c r="A29" s="1"/>
      <c r="B29" s="6"/>
      <c r="C29" s="5"/>
      <c r="D29" s="6"/>
      <c r="E29" s="4"/>
      <c r="G29" s="21" t="s">
        <v>17</v>
      </c>
      <c r="H29" s="45">
        <f>H10</f>
        <v>0</v>
      </c>
      <c r="I29" s="10"/>
      <c r="L29" s="77" t="s">
        <v>88</v>
      </c>
      <c r="M29" s="78"/>
      <c r="N29" s="79">
        <f>N26+M28-M27</f>
        <v>84115</v>
      </c>
    </row>
    <row r="30" spans="1:14" ht="19.5" thickBot="1">
      <c r="A30" s="1"/>
      <c r="B30" s="6"/>
      <c r="C30" s="5"/>
      <c r="D30" s="6"/>
      <c r="E30" s="4"/>
      <c r="G30" s="21" t="s">
        <v>29</v>
      </c>
      <c r="H30" s="45">
        <f>H13</f>
        <v>0</v>
      </c>
      <c r="I30" s="10"/>
      <c r="L30" s="24" t="s">
        <v>30</v>
      </c>
      <c r="M30" s="25"/>
      <c r="N30" s="26">
        <f>N25+N29</f>
        <v>2642867</v>
      </c>
    </row>
    <row r="31" spans="1:14">
      <c r="A31" s="1"/>
      <c r="B31" s="6"/>
      <c r="C31" s="5"/>
      <c r="D31" s="6"/>
      <c r="E31" s="4"/>
      <c r="G31" s="21" t="s">
        <v>27</v>
      </c>
      <c r="H31" s="45">
        <f>H12</f>
        <v>0</v>
      </c>
      <c r="I31" s="10"/>
    </row>
    <row r="32" spans="1:14">
      <c r="A32" s="1"/>
      <c r="B32" s="6"/>
      <c r="C32" s="5"/>
      <c r="D32" s="6"/>
      <c r="E32" s="4"/>
      <c r="G32" s="21" t="s">
        <v>31</v>
      </c>
      <c r="H32" s="45">
        <f>H18</f>
        <v>0</v>
      </c>
      <c r="I32" s="10"/>
    </row>
    <row r="33" spans="1:9">
      <c r="A33" s="1"/>
      <c r="B33" s="6"/>
      <c r="C33" s="5"/>
      <c r="D33" s="6"/>
      <c r="E33" s="4"/>
      <c r="F33" s="44"/>
      <c r="G33" s="46" t="s">
        <v>33</v>
      </c>
      <c r="H33" s="45">
        <f>H14</f>
        <v>0</v>
      </c>
      <c r="I33" s="10"/>
    </row>
    <row r="34" spans="1:9">
      <c r="A34" s="1"/>
      <c r="B34" s="6"/>
      <c r="C34" s="5"/>
      <c r="D34" s="6"/>
      <c r="E34" s="4"/>
      <c r="F34" s="44"/>
      <c r="G34" s="83" t="s">
        <v>34</v>
      </c>
      <c r="H34" s="45">
        <f>H15</f>
        <v>0</v>
      </c>
      <c r="I34" s="10"/>
    </row>
    <row r="35" spans="1:9">
      <c r="A35" s="1"/>
      <c r="B35" s="6"/>
      <c r="C35" s="5"/>
      <c r="D35" s="6"/>
      <c r="E35" s="4"/>
      <c r="F35" s="44"/>
      <c r="G35" s="83" t="s">
        <v>35</v>
      </c>
      <c r="H35" s="45">
        <f>H16</f>
        <v>0</v>
      </c>
      <c r="I35" s="10"/>
    </row>
    <row r="36" spans="1:9">
      <c r="A36" s="1"/>
      <c r="B36" s="6"/>
      <c r="C36" s="5"/>
      <c r="D36" s="6"/>
      <c r="E36" s="4"/>
      <c r="F36" s="44"/>
      <c r="G36" s="83" t="s">
        <v>32</v>
      </c>
      <c r="H36" s="45">
        <f t="shared" ref="H36" si="0">H17</f>
        <v>0</v>
      </c>
      <c r="I36" s="10"/>
    </row>
    <row r="37" spans="1:9">
      <c r="A37" s="1"/>
      <c r="B37" s="6"/>
      <c r="C37" s="5"/>
      <c r="D37" s="6"/>
      <c r="E37" s="4"/>
      <c r="F37" s="44"/>
      <c r="G37" s="83" t="s">
        <v>61</v>
      </c>
      <c r="H37" s="45">
        <f>H19</f>
        <v>0</v>
      </c>
      <c r="I37" s="10"/>
    </row>
    <row r="38" spans="1:9">
      <c r="A38" s="1"/>
      <c r="B38" s="6"/>
      <c r="C38" s="5"/>
      <c r="D38" s="6"/>
      <c r="E38" s="4"/>
      <c r="F38" s="44"/>
      <c r="G38" s="22" t="s">
        <v>24</v>
      </c>
      <c r="H38" s="8"/>
      <c r="I38" s="11">
        <f>SUM(H23:H37)</f>
        <v>0</v>
      </c>
    </row>
    <row r="39" spans="1:9">
      <c r="A39" s="1"/>
      <c r="B39" s="6"/>
      <c r="C39" s="5"/>
      <c r="D39" s="6"/>
      <c r="E39" s="4"/>
      <c r="G39" s="21" t="s">
        <v>11</v>
      </c>
      <c r="H39" s="45">
        <f>J4</f>
        <v>0</v>
      </c>
      <c r="I39" s="10"/>
    </row>
    <row r="40" spans="1:9">
      <c r="A40" s="1"/>
      <c r="B40" s="6"/>
      <c r="C40" s="5"/>
      <c r="D40" s="6"/>
      <c r="E40" s="4"/>
      <c r="G40" s="21" t="s">
        <v>25</v>
      </c>
      <c r="H40" s="45">
        <f>J5</f>
        <v>0</v>
      </c>
      <c r="I40" s="10"/>
    </row>
    <row r="41" spans="1:9">
      <c r="A41" s="1"/>
      <c r="B41" s="6"/>
      <c r="C41" s="5"/>
      <c r="D41" s="6"/>
      <c r="E41" s="4"/>
      <c r="G41" s="21" t="s">
        <v>13</v>
      </c>
      <c r="H41" s="45">
        <f>J9</f>
        <v>0</v>
      </c>
      <c r="I41" s="10"/>
    </row>
    <row r="42" spans="1:9">
      <c r="A42" s="1"/>
      <c r="B42" s="6"/>
      <c r="C42" s="5"/>
      <c r="D42" s="6"/>
      <c r="E42" s="4"/>
      <c r="G42" s="21" t="s">
        <v>8</v>
      </c>
      <c r="H42" s="45">
        <f>J6</f>
        <v>0</v>
      </c>
      <c r="I42" s="10"/>
    </row>
    <row r="43" spans="1:9">
      <c r="A43" s="1"/>
      <c r="B43" s="6"/>
      <c r="C43" s="5"/>
      <c r="D43" s="6"/>
      <c r="E43" s="4"/>
      <c r="G43" s="21" t="s">
        <v>9</v>
      </c>
      <c r="H43" s="45">
        <f>J8</f>
        <v>0</v>
      </c>
      <c r="I43" s="10"/>
    </row>
    <row r="44" spans="1:9">
      <c r="A44" s="1"/>
      <c r="B44" s="6"/>
      <c r="C44" s="5"/>
      <c r="D44" s="6"/>
      <c r="E44" s="4"/>
      <c r="G44" s="21" t="s">
        <v>7</v>
      </c>
      <c r="H44" s="45">
        <f>J7</f>
        <v>0</v>
      </c>
      <c r="I44" s="10"/>
    </row>
    <row r="45" spans="1:9">
      <c r="A45" s="1"/>
      <c r="B45" s="6"/>
      <c r="C45" s="5"/>
      <c r="D45" s="6"/>
      <c r="E45" s="4"/>
      <c r="G45" s="22" t="s">
        <v>26</v>
      </c>
      <c r="H45" s="8"/>
      <c r="I45" s="11">
        <f>SUM(H39:H44)</f>
        <v>0</v>
      </c>
    </row>
    <row r="46" spans="1:9" ht="19.5" thickBot="1">
      <c r="A46" s="1"/>
      <c r="B46" s="6"/>
      <c r="C46" s="5"/>
      <c r="D46" s="6"/>
      <c r="E46" s="4"/>
      <c r="G46" s="23" t="str">
        <f>IF(I46&lt;0,"当月純損失","当月純利益")</f>
        <v>当月純利益</v>
      </c>
      <c r="H46" s="13"/>
      <c r="I46" s="14">
        <f>-I38+I45</f>
        <v>0</v>
      </c>
    </row>
    <row r="47" spans="1:9" ht="19.5" thickBot="1">
      <c r="A47" s="1"/>
      <c r="B47" s="6"/>
      <c r="C47" s="5"/>
      <c r="D47" s="6"/>
      <c r="E47" s="4"/>
      <c r="G47" s="12"/>
      <c r="H47" s="13"/>
      <c r="I47" s="14"/>
    </row>
    <row r="48" spans="1:9">
      <c r="A48" s="1"/>
      <c r="B48" s="6"/>
      <c r="C48" s="5"/>
      <c r="D48" s="6"/>
      <c r="E48" s="4"/>
    </row>
    <row r="49" spans="1:5">
      <c r="A49" s="1"/>
      <c r="B49" s="6"/>
      <c r="C49" s="5"/>
      <c r="D49" s="6"/>
      <c r="E49" s="4"/>
    </row>
    <row r="50" spans="1:5">
      <c r="A50" s="1"/>
      <c r="B50" s="6"/>
      <c r="C50" s="5"/>
      <c r="D50" s="6"/>
      <c r="E50" s="4"/>
    </row>
    <row r="51" spans="1:5">
      <c r="A51" s="1"/>
      <c r="B51" s="6"/>
      <c r="C51" s="5"/>
      <c r="D51" s="6"/>
      <c r="E51" s="4"/>
    </row>
    <row r="52" spans="1:5">
      <c r="A52" s="1"/>
      <c r="B52" s="6"/>
      <c r="C52" s="5"/>
      <c r="D52" s="6"/>
      <c r="E52" s="4"/>
    </row>
    <row r="53" spans="1:5">
      <c r="A53" s="1"/>
      <c r="B53" s="6"/>
      <c r="C53" s="5"/>
      <c r="D53" s="6"/>
      <c r="E53" s="4"/>
    </row>
    <row r="54" spans="1:5">
      <c r="A54" s="1"/>
      <c r="B54" s="6"/>
      <c r="C54" s="5"/>
      <c r="D54" s="6"/>
      <c r="E54" s="4"/>
    </row>
    <row r="55" spans="1:5">
      <c r="A55" s="1"/>
      <c r="B55" s="6"/>
      <c r="C55" s="5"/>
      <c r="D55" s="6"/>
      <c r="E55" s="4"/>
    </row>
    <row r="56" spans="1:5">
      <c r="A56" s="1"/>
      <c r="B56" s="6"/>
      <c r="C56" s="5"/>
      <c r="D56" s="6"/>
      <c r="E56" s="4"/>
    </row>
    <row r="57" spans="1:5">
      <c r="A57" s="1"/>
      <c r="B57" s="66"/>
      <c r="C57" s="5"/>
      <c r="D57" s="6"/>
      <c r="E57" s="4"/>
    </row>
    <row r="58" spans="1:5">
      <c r="A58" s="1"/>
      <c r="B58" s="6"/>
      <c r="C58" s="5"/>
      <c r="D58" s="6"/>
      <c r="E58" s="4"/>
    </row>
    <row r="59" spans="1:5">
      <c r="A59" s="1"/>
      <c r="B59" s="6"/>
      <c r="C59" s="5"/>
      <c r="D59" s="6"/>
      <c r="E59" s="4"/>
    </row>
    <row r="60" spans="1:5">
      <c r="A60" s="1"/>
      <c r="B60" s="6"/>
      <c r="C60" s="5"/>
      <c r="D60" s="6"/>
      <c r="E60" s="4"/>
    </row>
    <row r="61" spans="1:5">
      <c r="A61" s="1"/>
      <c r="B61" s="6"/>
      <c r="C61" s="5"/>
      <c r="D61" s="6"/>
      <c r="E61" s="4"/>
    </row>
    <row r="62" spans="1:5">
      <c r="A62" s="1"/>
      <c r="B62" s="6"/>
      <c r="C62" s="5"/>
      <c r="D62" s="6"/>
      <c r="E62" s="4"/>
    </row>
    <row r="63" spans="1:5">
      <c r="A63" s="1"/>
      <c r="B63" s="6"/>
      <c r="C63" s="5"/>
      <c r="D63" s="6"/>
      <c r="E63" s="4"/>
    </row>
    <row r="64" spans="1:5">
      <c r="A64" s="1"/>
      <c r="B64" s="6"/>
      <c r="C64" s="5"/>
      <c r="D64" s="6"/>
      <c r="E64" s="4"/>
    </row>
    <row r="65" spans="1:5">
      <c r="A65" s="1"/>
      <c r="B65" s="6"/>
      <c r="C65" s="5"/>
      <c r="D65" s="6"/>
      <c r="E65" s="4"/>
    </row>
    <row r="66" spans="1:5">
      <c r="A66" s="1"/>
      <c r="B66" s="6"/>
      <c r="C66" s="5"/>
      <c r="D66" s="6"/>
      <c r="E66" s="4"/>
    </row>
    <row r="67" spans="1:5">
      <c r="A67" s="1"/>
      <c r="B67" s="6"/>
      <c r="C67" s="5"/>
      <c r="D67" s="6"/>
      <c r="E67" s="4"/>
    </row>
    <row r="68" spans="1:5">
      <c r="A68" s="1"/>
      <c r="B68" s="6"/>
      <c r="C68" s="5"/>
      <c r="D68" s="6"/>
      <c r="E68" s="4"/>
    </row>
    <row r="69" spans="1:5">
      <c r="A69" s="1"/>
      <c r="B69" s="6"/>
      <c r="C69" s="5"/>
      <c r="D69" s="6"/>
      <c r="E69" s="4"/>
    </row>
    <row r="70" spans="1:5">
      <c r="A70" s="1"/>
      <c r="B70" s="6"/>
      <c r="C70" s="5"/>
      <c r="D70" s="6"/>
      <c r="E70" s="4"/>
    </row>
    <row r="71" spans="1:5">
      <c r="A71" s="1"/>
      <c r="B71" s="6"/>
      <c r="C71" s="5"/>
      <c r="D71" s="6"/>
      <c r="E71" s="4"/>
    </row>
    <row r="72" spans="1:5">
      <c r="A72" s="1"/>
      <c r="B72" s="6"/>
      <c r="C72" s="5"/>
      <c r="D72" s="6"/>
      <c r="E72" s="4"/>
    </row>
    <row r="73" spans="1:5">
      <c r="A73" s="1"/>
      <c r="B73" s="6"/>
      <c r="C73" s="5"/>
      <c r="D73" s="6"/>
      <c r="E73" s="4"/>
    </row>
    <row r="74" spans="1:5">
      <c r="A74" s="1"/>
      <c r="B74" s="6"/>
      <c r="C74" s="5"/>
      <c r="D74" s="6"/>
      <c r="E74" s="4"/>
    </row>
    <row r="75" spans="1:5">
      <c r="A75" s="1"/>
      <c r="B75" s="6"/>
      <c r="C75" s="5"/>
      <c r="D75" s="6"/>
      <c r="E75" s="4"/>
    </row>
    <row r="76" spans="1:5">
      <c r="A76" s="1"/>
      <c r="B76" s="6"/>
      <c r="C76" s="5"/>
      <c r="D76" s="6"/>
      <c r="E76" s="4"/>
    </row>
    <row r="77" spans="1:5">
      <c r="A77" s="1"/>
      <c r="B77" s="6"/>
      <c r="C77" s="5"/>
      <c r="D77" s="6"/>
      <c r="E77" s="4"/>
    </row>
    <row r="78" spans="1:5">
      <c r="A78" s="1"/>
      <c r="B78" s="6"/>
      <c r="C78" s="5"/>
      <c r="D78" s="6"/>
      <c r="E78" s="4"/>
    </row>
    <row r="79" spans="1:5">
      <c r="A79" s="1"/>
      <c r="B79" s="6"/>
      <c r="C79" s="5"/>
      <c r="D79" s="6"/>
      <c r="E79" s="4"/>
    </row>
    <row r="80" spans="1:5">
      <c r="A80" s="1"/>
      <c r="B80" s="6"/>
      <c r="C80" s="5"/>
      <c r="D80" s="6"/>
      <c r="E80" s="4"/>
    </row>
    <row r="81" spans="1:5">
      <c r="A81" s="1"/>
      <c r="B81" s="6"/>
      <c r="C81" s="5"/>
      <c r="D81" s="6"/>
      <c r="E81" s="4"/>
    </row>
    <row r="82" spans="1:5">
      <c r="A82" s="1"/>
      <c r="B82" s="6"/>
      <c r="C82" s="5"/>
      <c r="D82" s="6"/>
      <c r="E82" s="4"/>
    </row>
    <row r="83" spans="1:5">
      <c r="A83" s="1"/>
      <c r="B83" s="6"/>
      <c r="C83" s="5"/>
      <c r="D83" s="6"/>
      <c r="E83" s="4"/>
    </row>
    <row r="84" spans="1:5">
      <c r="A84" s="1"/>
      <c r="B84" s="6"/>
      <c r="C84" s="5"/>
      <c r="D84" s="6"/>
      <c r="E84" s="4"/>
    </row>
    <row r="85" spans="1:5">
      <c r="A85" s="1"/>
      <c r="B85" s="6"/>
      <c r="C85" s="5"/>
      <c r="D85" s="6"/>
      <c r="E85" s="4"/>
    </row>
    <row r="86" spans="1:5">
      <c r="A86" s="1"/>
      <c r="B86" s="6"/>
      <c r="C86" s="5"/>
      <c r="D86" s="6"/>
      <c r="E86" s="4"/>
    </row>
    <row r="87" spans="1:5">
      <c r="A87" s="1"/>
      <c r="B87" s="6"/>
      <c r="C87" s="5"/>
      <c r="D87" s="6"/>
      <c r="E87" s="4"/>
    </row>
    <row r="88" spans="1:5">
      <c r="A88" s="1"/>
      <c r="B88" s="6"/>
      <c r="C88" s="5"/>
      <c r="D88" s="6"/>
      <c r="E88" s="4"/>
    </row>
    <row r="89" spans="1:5">
      <c r="A89" s="1"/>
      <c r="B89" s="6"/>
      <c r="C89" s="5"/>
      <c r="D89" s="6"/>
      <c r="E89" s="4"/>
    </row>
    <row r="90" spans="1:5">
      <c r="A90" s="1"/>
      <c r="B90" s="6"/>
      <c r="C90" s="5"/>
      <c r="D90" s="6"/>
      <c r="E90" s="4"/>
    </row>
    <row r="91" spans="1:5">
      <c r="A91" s="1"/>
      <c r="B91" s="6"/>
      <c r="C91" s="5"/>
      <c r="D91" s="6"/>
      <c r="E91" s="4"/>
    </row>
    <row r="92" spans="1:5">
      <c r="A92" s="1"/>
      <c r="B92" s="6"/>
      <c r="C92" s="5"/>
      <c r="D92" s="6"/>
      <c r="E92" s="4"/>
    </row>
    <row r="93" spans="1:5">
      <c r="A93" s="1"/>
      <c r="B93" s="6"/>
      <c r="C93" s="5"/>
      <c r="D93" s="6"/>
      <c r="E93" s="4"/>
    </row>
    <row r="94" spans="1:5">
      <c r="A94" s="1"/>
      <c r="B94" s="6"/>
      <c r="C94" s="5"/>
      <c r="D94" s="6"/>
      <c r="E94" s="4"/>
    </row>
    <row r="95" spans="1:5">
      <c r="A95" s="1"/>
      <c r="B95" s="6"/>
      <c r="C95" s="5"/>
      <c r="D95" s="6"/>
      <c r="E95" s="4"/>
    </row>
    <row r="96" spans="1:5">
      <c r="A96" s="1"/>
      <c r="B96" s="6"/>
      <c r="C96" s="5"/>
      <c r="D96" s="6"/>
      <c r="E96" s="4"/>
    </row>
    <row r="97" spans="1:5">
      <c r="A97" s="1"/>
      <c r="B97" s="6"/>
      <c r="C97" s="5"/>
      <c r="D97" s="6"/>
      <c r="E97" s="4"/>
    </row>
    <row r="98" spans="1:5">
      <c r="A98" s="1"/>
      <c r="B98" s="6"/>
      <c r="C98" s="5"/>
      <c r="D98" s="6"/>
      <c r="E98" s="4"/>
    </row>
    <row r="99" spans="1:5">
      <c r="A99" s="1"/>
      <c r="B99" s="6"/>
      <c r="C99" s="5"/>
      <c r="D99" s="6"/>
      <c r="E99" s="4"/>
    </row>
    <row r="100" spans="1:5">
      <c r="A100" s="1"/>
      <c r="B100" s="6"/>
      <c r="C100" s="5"/>
      <c r="D100" s="6"/>
      <c r="E100" s="4"/>
    </row>
    <row r="101" spans="1:5">
      <c r="A101" s="1"/>
      <c r="B101" s="6"/>
      <c r="C101" s="5"/>
      <c r="D101" s="6"/>
      <c r="E101" s="4"/>
    </row>
    <row r="102" spans="1:5">
      <c r="A102" s="1"/>
      <c r="B102" s="6"/>
      <c r="C102" s="5"/>
      <c r="D102" s="6"/>
      <c r="E102" s="4"/>
    </row>
    <row r="103" spans="1:5">
      <c r="A103" s="1"/>
      <c r="B103" s="6"/>
      <c r="C103" s="5"/>
      <c r="D103" s="6"/>
      <c r="E103" s="4"/>
    </row>
    <row r="104" spans="1:5">
      <c r="A104" s="1"/>
      <c r="B104" s="6"/>
      <c r="C104" s="5"/>
      <c r="D104" s="6"/>
      <c r="E104" s="4"/>
    </row>
    <row r="105" spans="1:5">
      <c r="A105" s="1"/>
      <c r="B105" s="6"/>
      <c r="C105" s="5"/>
      <c r="D105" s="6"/>
      <c r="E105" s="4"/>
    </row>
    <row r="106" spans="1:5">
      <c r="A106" s="1"/>
      <c r="B106" s="6"/>
      <c r="C106" s="5"/>
      <c r="D106" s="6"/>
      <c r="E106" s="4"/>
    </row>
    <row r="107" spans="1:5">
      <c r="A107" s="1"/>
      <c r="B107" s="6"/>
      <c r="C107" s="5"/>
      <c r="D107" s="6"/>
      <c r="E107" s="4"/>
    </row>
    <row r="108" spans="1:5">
      <c r="A108" s="1"/>
      <c r="B108" s="6"/>
      <c r="C108" s="5"/>
      <c r="D108" s="6"/>
      <c r="E108" s="4"/>
    </row>
    <row r="109" spans="1:5">
      <c r="A109" s="1"/>
      <c r="B109" s="6"/>
      <c r="C109" s="5"/>
      <c r="D109" s="6"/>
      <c r="E109" s="4"/>
    </row>
    <row r="110" spans="1:5">
      <c r="A110" s="1"/>
      <c r="B110" s="6"/>
      <c r="C110" s="5"/>
      <c r="D110" s="6"/>
      <c r="E110" s="4"/>
    </row>
    <row r="111" spans="1:5">
      <c r="A111" s="1"/>
      <c r="B111" s="6"/>
      <c r="C111" s="5"/>
      <c r="D111" s="6"/>
      <c r="E111" s="4"/>
    </row>
    <row r="112" spans="1:5">
      <c r="A112" s="1"/>
      <c r="B112" s="6"/>
      <c r="C112" s="5"/>
      <c r="D112" s="6"/>
      <c r="E112" s="4"/>
    </row>
    <row r="113" spans="1:5">
      <c r="A113" s="1"/>
      <c r="B113" s="6"/>
      <c r="C113" s="5"/>
      <c r="D113" s="6"/>
      <c r="E113" s="4"/>
    </row>
    <row r="114" spans="1:5">
      <c r="A114" s="1"/>
      <c r="B114" s="6"/>
      <c r="C114" s="5"/>
      <c r="D114" s="6"/>
      <c r="E114" s="4"/>
    </row>
    <row r="115" spans="1:5">
      <c r="A115" s="1"/>
      <c r="B115" s="6"/>
      <c r="C115" s="5"/>
      <c r="D115" s="6"/>
      <c r="E115" s="4"/>
    </row>
    <row r="116" spans="1:5">
      <c r="A116" s="1"/>
      <c r="B116" s="6"/>
      <c r="C116" s="5"/>
      <c r="D116" s="6"/>
      <c r="E116" s="4"/>
    </row>
    <row r="117" spans="1:5">
      <c r="A117" s="1"/>
      <c r="B117" s="6"/>
      <c r="C117" s="5"/>
      <c r="D117" s="6"/>
      <c r="E117" s="4"/>
    </row>
    <row r="118" spans="1:5">
      <c r="A118" s="1"/>
      <c r="B118" s="6"/>
      <c r="C118" s="5"/>
      <c r="D118" s="6"/>
      <c r="E118" s="4"/>
    </row>
    <row r="119" spans="1:5">
      <c r="A119" s="1"/>
      <c r="B119" s="6"/>
      <c r="C119" s="5"/>
      <c r="D119" s="6"/>
      <c r="E119" s="4"/>
    </row>
    <row r="120" spans="1:5">
      <c r="A120" s="1"/>
      <c r="B120" s="6"/>
      <c r="C120" s="5"/>
      <c r="D120" s="6"/>
      <c r="E120" s="4"/>
    </row>
    <row r="121" spans="1:5">
      <c r="A121" s="1"/>
      <c r="B121" s="6"/>
      <c r="C121" s="5"/>
      <c r="D121" s="6"/>
      <c r="E121" s="4"/>
    </row>
    <row r="122" spans="1:5">
      <c r="A122" s="1"/>
      <c r="B122" s="6"/>
      <c r="C122" s="5"/>
      <c r="D122" s="6"/>
      <c r="E122" s="4"/>
    </row>
    <row r="123" spans="1:5">
      <c r="A123" s="1"/>
      <c r="B123" s="6"/>
      <c r="C123" s="5"/>
      <c r="D123" s="6"/>
      <c r="E123" s="4"/>
    </row>
    <row r="124" spans="1:5">
      <c r="A124" s="1"/>
      <c r="B124" s="6"/>
      <c r="C124" s="5"/>
      <c r="D124" s="6"/>
      <c r="E124" s="4"/>
    </row>
    <row r="125" spans="1:5">
      <c r="A125" s="2"/>
    </row>
    <row r="126" spans="1:5">
      <c r="A126" s="2"/>
    </row>
    <row r="127" spans="1:5">
      <c r="A127" s="2"/>
    </row>
  </sheetData>
  <mergeCells count="1">
    <mergeCell ref="B1:E1"/>
  </mergeCells>
  <phoneticPr fontId="1"/>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ranscribe">
                <anchor moveWithCells="1" sizeWithCells="1">
                  <from>
                    <xdr:col>11</xdr:col>
                    <xdr:colOff>0</xdr:colOff>
                    <xdr:row>1</xdr:row>
                    <xdr:rowOff>209550</xdr:rowOff>
                  </from>
                  <to>
                    <xdr:col>13</xdr:col>
                    <xdr:colOff>19050</xdr:colOff>
                    <xdr:row>4</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5ADA-4E6C-472E-9C3A-378B5E3CAEF8}">
  <sheetPr codeName="Sheet13"/>
  <dimension ref="A1:V37"/>
  <sheetViews>
    <sheetView zoomScaleNormal="100" workbookViewId="0">
      <selection activeCell="A4" sqref="A4"/>
    </sheetView>
  </sheetViews>
  <sheetFormatPr defaultColWidth="8.25" defaultRowHeight="18.75"/>
  <cols>
    <col min="1" max="1" width="10.125" style="27" bestFit="1" customWidth="1"/>
    <col min="2" max="3" width="11.125" style="27" bestFit="1" customWidth="1"/>
    <col min="4" max="4" width="12" style="27" bestFit="1" customWidth="1"/>
    <col min="5" max="5" width="8.25" style="27"/>
    <col min="6" max="6" width="10" style="27" bestFit="1" customWidth="1"/>
    <col min="7" max="7" width="10.5" style="27" bestFit="1" customWidth="1"/>
    <col min="8" max="8" width="10" style="27" bestFit="1" customWidth="1"/>
    <col min="9" max="11" width="11.125" style="27" bestFit="1" customWidth="1"/>
    <col min="12" max="12" width="17.375" style="27" bestFit="1" customWidth="1"/>
    <col min="13" max="13" width="8.5" style="27" bestFit="1" customWidth="1"/>
    <col min="14" max="14" width="9" style="27" bestFit="1" customWidth="1"/>
    <col min="15" max="15" width="8.5" style="27" bestFit="1" customWidth="1"/>
    <col min="16" max="17" width="8.25" style="27"/>
    <col min="18" max="18" width="9.5" style="27" bestFit="1" customWidth="1"/>
    <col min="19" max="19" width="10.5" style="27" customWidth="1"/>
    <col min="20" max="26" width="8.25" style="27"/>
    <col min="27" max="27" width="8.75" style="27" bestFit="1" customWidth="1"/>
    <col min="28" max="28" width="11" style="27" customWidth="1"/>
    <col min="29" max="29" width="11.125" style="27" customWidth="1"/>
    <col min="30" max="30" width="11.875" style="27" customWidth="1"/>
    <col min="31" max="31" width="8.25" style="27"/>
    <col min="32" max="33" width="8.625" style="27" bestFit="1" customWidth="1"/>
    <col min="34" max="34" width="8.375" style="27" customWidth="1"/>
    <col min="35" max="35" width="9.25" style="27" bestFit="1" customWidth="1"/>
    <col min="36" max="36" width="9.5" style="27" bestFit="1" customWidth="1"/>
    <col min="37" max="39" width="8.25" style="27"/>
    <col min="40" max="40" width="10.375" style="27" customWidth="1"/>
    <col min="41" max="41" width="10.75" style="27" customWidth="1"/>
    <col min="42" max="42" width="10.375" style="27" customWidth="1"/>
    <col min="43" max="46" width="8.25" style="27"/>
    <col min="47" max="48" width="9.25" style="27" bestFit="1" customWidth="1"/>
    <col min="49" max="16384" width="8.25" style="27"/>
  </cols>
  <sheetData>
    <row r="1" spans="1:16">
      <c r="A1" s="124" t="s">
        <v>91</v>
      </c>
      <c r="B1" s="125"/>
      <c r="C1" s="125"/>
      <c r="D1" s="126"/>
    </row>
    <row r="2" spans="1:16" ht="19.5" thickBot="1">
      <c r="A2" s="127"/>
      <c r="B2" s="128"/>
      <c r="C2" s="128"/>
      <c r="D2" s="129"/>
    </row>
    <row r="4" spans="1:16">
      <c r="A4" s="53" t="s">
        <v>50</v>
      </c>
      <c r="B4" s="55"/>
      <c r="C4" s="55"/>
      <c r="D4" s="55"/>
      <c r="E4" s="56"/>
      <c r="F4" s="57"/>
      <c r="G4" s="57"/>
      <c r="H4" s="57"/>
      <c r="I4" s="57"/>
      <c r="J4" s="57"/>
      <c r="K4" s="57"/>
      <c r="L4" s="57"/>
      <c r="M4" s="57"/>
      <c r="N4" s="57"/>
      <c r="O4" s="57"/>
      <c r="P4" s="53"/>
    </row>
    <row r="5" spans="1:16">
      <c r="A5" s="67">
        <v>2020</v>
      </c>
      <c r="B5" s="30" t="s">
        <v>52</v>
      </c>
      <c r="C5" s="30" t="s">
        <v>53</v>
      </c>
      <c r="D5" s="30" t="s">
        <v>54</v>
      </c>
      <c r="E5" s="68" t="s">
        <v>55</v>
      </c>
      <c r="F5" s="54" t="s">
        <v>37</v>
      </c>
      <c r="G5" s="54" t="s">
        <v>39</v>
      </c>
      <c r="H5" s="54" t="s">
        <v>56</v>
      </c>
      <c r="I5" s="54" t="s">
        <v>46</v>
      </c>
      <c r="J5" s="54" t="s">
        <v>57</v>
      </c>
      <c r="K5" s="54" t="s">
        <v>58</v>
      </c>
      <c r="L5" s="54" t="s">
        <v>59</v>
      </c>
      <c r="M5" s="54" t="s">
        <v>49</v>
      </c>
      <c r="N5" s="54" t="s">
        <v>47</v>
      </c>
      <c r="O5" s="54" t="s">
        <v>60</v>
      </c>
      <c r="P5" s="53"/>
    </row>
    <row r="6" spans="1:16">
      <c r="A6" s="28" t="s">
        <v>64</v>
      </c>
      <c r="B6" s="30">
        <v>403850</v>
      </c>
      <c r="C6" s="30">
        <v>170720</v>
      </c>
      <c r="D6" s="30">
        <f t="shared" ref="D6:D18" si="0">B6-C6</f>
        <v>233130</v>
      </c>
      <c r="E6" s="68">
        <f t="shared" ref="E6:E17" si="1">B6/C6</f>
        <v>2.3655693533270852</v>
      </c>
      <c r="F6" s="30">
        <v>36550</v>
      </c>
      <c r="G6" s="30">
        <v>58000</v>
      </c>
      <c r="H6" s="30">
        <v>55660</v>
      </c>
      <c r="I6" s="30">
        <v>400000</v>
      </c>
      <c r="J6" s="30">
        <v>201670</v>
      </c>
      <c r="K6" s="30">
        <v>21900</v>
      </c>
      <c r="L6" s="30">
        <v>0</v>
      </c>
      <c r="M6" s="30">
        <v>0</v>
      </c>
      <c r="N6" s="30">
        <v>5000</v>
      </c>
      <c r="O6" s="30">
        <v>5000</v>
      </c>
      <c r="P6" s="53"/>
    </row>
    <row r="7" spans="1:16">
      <c r="A7" s="28" t="s">
        <v>65</v>
      </c>
      <c r="B7" s="30"/>
      <c r="C7" s="30"/>
      <c r="D7" s="30">
        <f t="shared" si="0"/>
        <v>0</v>
      </c>
      <c r="E7" s="68" t="e">
        <f t="shared" si="1"/>
        <v>#DIV/0!</v>
      </c>
      <c r="F7" s="30"/>
      <c r="G7" s="30"/>
      <c r="H7" s="30"/>
      <c r="I7" s="30"/>
      <c r="J7" s="30"/>
      <c r="K7" s="30"/>
      <c r="L7" s="30"/>
      <c r="M7" s="30"/>
      <c r="N7" s="30"/>
      <c r="O7" s="30"/>
      <c r="P7" s="53"/>
    </row>
    <row r="8" spans="1:16">
      <c r="A8" s="28" t="s">
        <v>66</v>
      </c>
      <c r="B8" s="30"/>
      <c r="C8" s="30"/>
      <c r="D8" s="30">
        <f t="shared" si="0"/>
        <v>0</v>
      </c>
      <c r="E8" s="68" t="e">
        <f t="shared" si="1"/>
        <v>#DIV/0!</v>
      </c>
      <c r="F8" s="30"/>
      <c r="G8" s="30"/>
      <c r="H8" s="30"/>
      <c r="I8" s="30"/>
      <c r="J8" s="30"/>
      <c r="K8" s="30"/>
      <c r="L8" s="30"/>
      <c r="M8" s="30"/>
      <c r="N8" s="30"/>
      <c r="O8" s="30"/>
      <c r="P8" s="53"/>
    </row>
    <row r="9" spans="1:16">
      <c r="A9" s="28" t="s">
        <v>67</v>
      </c>
      <c r="B9" s="30"/>
      <c r="C9" s="30"/>
      <c r="D9" s="30">
        <f t="shared" si="0"/>
        <v>0</v>
      </c>
      <c r="E9" s="68" t="e">
        <f t="shared" si="1"/>
        <v>#DIV/0!</v>
      </c>
      <c r="F9" s="30"/>
      <c r="G9" s="30"/>
      <c r="H9" s="30"/>
      <c r="I9" s="30"/>
      <c r="J9" s="30"/>
      <c r="K9" s="30"/>
      <c r="L9" s="30"/>
      <c r="M9" s="30"/>
      <c r="N9" s="30"/>
      <c r="O9" s="30"/>
      <c r="P9" s="53"/>
    </row>
    <row r="10" spans="1:16">
      <c r="A10" s="28" t="s">
        <v>68</v>
      </c>
      <c r="B10" s="30"/>
      <c r="C10" s="30"/>
      <c r="D10" s="30">
        <f t="shared" si="0"/>
        <v>0</v>
      </c>
      <c r="E10" s="68" t="e">
        <f t="shared" si="1"/>
        <v>#DIV/0!</v>
      </c>
      <c r="F10" s="30"/>
      <c r="G10" s="30"/>
      <c r="H10" s="30"/>
      <c r="I10" s="30"/>
      <c r="J10" s="30"/>
      <c r="K10" s="30"/>
      <c r="L10" s="30"/>
      <c r="M10" s="30"/>
      <c r="N10" s="30"/>
      <c r="O10" s="30"/>
      <c r="P10" s="53"/>
    </row>
    <row r="11" spans="1:16">
      <c r="A11" s="28" t="s">
        <v>69</v>
      </c>
      <c r="B11" s="30"/>
      <c r="C11" s="30"/>
      <c r="D11" s="30">
        <f t="shared" si="0"/>
        <v>0</v>
      </c>
      <c r="E11" s="68" t="e">
        <f t="shared" si="1"/>
        <v>#DIV/0!</v>
      </c>
      <c r="F11" s="30"/>
      <c r="G11" s="30"/>
      <c r="H11" s="30"/>
      <c r="I11" s="30"/>
      <c r="J11" s="30"/>
      <c r="K11" s="30"/>
      <c r="L11" s="30"/>
      <c r="M11" s="30"/>
      <c r="N11" s="30"/>
      <c r="O11" s="30"/>
      <c r="P11" s="53"/>
    </row>
    <row r="12" spans="1:16">
      <c r="A12" s="28" t="s">
        <v>70</v>
      </c>
      <c r="B12" s="30"/>
      <c r="C12" s="30"/>
      <c r="D12" s="30">
        <f t="shared" si="0"/>
        <v>0</v>
      </c>
      <c r="E12" s="68" t="e">
        <f t="shared" si="1"/>
        <v>#DIV/0!</v>
      </c>
      <c r="F12" s="30"/>
      <c r="G12" s="30"/>
      <c r="H12" s="30"/>
      <c r="I12" s="30"/>
      <c r="J12" s="30"/>
      <c r="K12" s="30"/>
      <c r="L12" s="30"/>
      <c r="M12" s="30"/>
      <c r="N12" s="30"/>
      <c r="O12" s="30"/>
      <c r="P12" s="53"/>
    </row>
    <row r="13" spans="1:16">
      <c r="A13" s="28" t="s">
        <v>71</v>
      </c>
      <c r="B13" s="30"/>
      <c r="C13" s="30"/>
      <c r="D13" s="30">
        <f t="shared" si="0"/>
        <v>0</v>
      </c>
      <c r="E13" s="68" t="e">
        <f t="shared" si="1"/>
        <v>#DIV/0!</v>
      </c>
      <c r="F13" s="30"/>
      <c r="G13" s="30"/>
      <c r="H13" s="30"/>
      <c r="I13" s="30"/>
      <c r="J13" s="30"/>
      <c r="K13" s="30"/>
      <c r="L13" s="30"/>
      <c r="M13" s="30"/>
      <c r="N13" s="30"/>
      <c r="O13" s="30"/>
      <c r="P13" s="53"/>
    </row>
    <row r="14" spans="1:16">
      <c r="A14" s="28" t="s">
        <v>72</v>
      </c>
      <c r="B14" s="30"/>
      <c r="C14" s="30"/>
      <c r="D14" s="30">
        <f t="shared" si="0"/>
        <v>0</v>
      </c>
      <c r="E14" s="68" t="e">
        <f t="shared" si="1"/>
        <v>#DIV/0!</v>
      </c>
      <c r="F14" s="30"/>
      <c r="G14" s="30"/>
      <c r="H14" s="30"/>
      <c r="I14" s="30"/>
      <c r="J14" s="30"/>
      <c r="K14" s="30"/>
      <c r="L14" s="30"/>
      <c r="M14" s="30"/>
      <c r="N14" s="30"/>
      <c r="O14" s="30"/>
      <c r="P14" s="53"/>
    </row>
    <row r="15" spans="1:16">
      <c r="A15" s="28" t="s">
        <v>73</v>
      </c>
      <c r="B15" s="30"/>
      <c r="C15" s="30"/>
      <c r="D15" s="30">
        <f t="shared" si="0"/>
        <v>0</v>
      </c>
      <c r="E15" s="68" t="e">
        <f t="shared" si="1"/>
        <v>#DIV/0!</v>
      </c>
      <c r="F15" s="30"/>
      <c r="G15" s="30"/>
      <c r="H15" s="30"/>
      <c r="I15" s="30"/>
      <c r="J15" s="30"/>
      <c r="K15" s="30"/>
      <c r="L15" s="30"/>
      <c r="M15" s="30"/>
      <c r="N15" s="30"/>
      <c r="O15" s="30"/>
      <c r="P15" s="53"/>
    </row>
    <row r="16" spans="1:16">
      <c r="A16" s="28" t="s">
        <v>74</v>
      </c>
      <c r="B16" s="30"/>
      <c r="C16" s="30"/>
      <c r="D16" s="30">
        <f t="shared" si="0"/>
        <v>0</v>
      </c>
      <c r="E16" s="68" t="e">
        <f t="shared" si="1"/>
        <v>#DIV/0!</v>
      </c>
      <c r="F16" s="30"/>
      <c r="G16" s="30"/>
      <c r="H16" s="30"/>
      <c r="I16" s="30"/>
      <c r="J16" s="30"/>
      <c r="K16" s="30"/>
      <c r="L16" s="30"/>
      <c r="M16" s="30"/>
      <c r="N16" s="30"/>
      <c r="O16" s="30"/>
      <c r="P16" s="53"/>
    </row>
    <row r="17" spans="1:22">
      <c r="A17" s="28" t="s">
        <v>63</v>
      </c>
      <c r="B17" s="30"/>
      <c r="C17" s="30"/>
      <c r="D17" s="30">
        <f t="shared" si="0"/>
        <v>0</v>
      </c>
      <c r="E17" s="68" t="e">
        <f t="shared" si="1"/>
        <v>#DIV/0!</v>
      </c>
      <c r="F17" s="30"/>
      <c r="G17" s="30"/>
      <c r="H17" s="30"/>
      <c r="I17" s="30"/>
      <c r="J17" s="30"/>
      <c r="K17" s="30"/>
      <c r="L17" s="30"/>
      <c r="M17" s="30"/>
      <c r="N17" s="30"/>
      <c r="O17" s="30"/>
      <c r="P17" s="53"/>
    </row>
    <row r="18" spans="1:22">
      <c r="A18" s="67" t="s">
        <v>51</v>
      </c>
      <c r="B18" s="29">
        <f>SUM(B6:B17)</f>
        <v>403850</v>
      </c>
      <c r="C18" s="29">
        <f>SUM(C6:C17)</f>
        <v>170720</v>
      </c>
      <c r="D18" s="29">
        <f t="shared" si="0"/>
        <v>233130</v>
      </c>
      <c r="E18" s="60">
        <f>B18/C18</f>
        <v>2.3655693533270852</v>
      </c>
      <c r="F18" s="61">
        <f>SUM(F6:F17)</f>
        <v>36550</v>
      </c>
      <c r="G18" s="61">
        <f t="shared" ref="G18:I18" si="2">SUM(G6:G17)</f>
        <v>58000</v>
      </c>
      <c r="H18" s="61">
        <f t="shared" si="2"/>
        <v>55660</v>
      </c>
      <c r="I18" s="61">
        <f t="shared" si="2"/>
        <v>400000</v>
      </c>
      <c r="J18" s="62">
        <f>SUM(J6:J17)</f>
        <v>201670</v>
      </c>
      <c r="K18" s="62">
        <f t="shared" ref="K18:O18" si="3">SUM(K6:K17)</f>
        <v>21900</v>
      </c>
      <c r="L18" s="62">
        <f t="shared" si="3"/>
        <v>0</v>
      </c>
      <c r="M18" s="62">
        <f t="shared" si="3"/>
        <v>0</v>
      </c>
      <c r="N18" s="62">
        <f t="shared" si="3"/>
        <v>5000</v>
      </c>
      <c r="O18" s="62">
        <f t="shared" si="3"/>
        <v>5000</v>
      </c>
      <c r="P18" s="53"/>
    </row>
    <row r="19" spans="1:22">
      <c r="A19" s="53" t="s">
        <v>50</v>
      </c>
      <c r="B19" s="53"/>
      <c r="C19" s="53"/>
      <c r="D19" s="53"/>
      <c r="E19" s="53"/>
      <c r="F19" s="53"/>
      <c r="G19" s="53"/>
      <c r="H19" s="53"/>
      <c r="I19" s="53"/>
      <c r="J19" s="53"/>
      <c r="K19" s="53"/>
      <c r="L19" s="53"/>
      <c r="M19" s="53"/>
      <c r="N19" s="53"/>
      <c r="O19" s="53"/>
      <c r="P19" s="53"/>
    </row>
    <row r="20" spans="1:22">
      <c r="A20" s="52"/>
      <c r="B20" s="52"/>
      <c r="C20" s="52"/>
      <c r="D20" s="52"/>
      <c r="E20" s="52"/>
      <c r="F20" s="52"/>
      <c r="G20" s="52"/>
      <c r="H20" s="52"/>
      <c r="I20" s="52"/>
      <c r="J20" s="52"/>
      <c r="K20" s="52"/>
      <c r="L20" s="52"/>
      <c r="M20" s="52"/>
      <c r="N20" s="52"/>
      <c r="O20" s="52"/>
      <c r="P20" s="53"/>
      <c r="Q20" s="53"/>
      <c r="R20" s="53"/>
      <c r="S20" s="53"/>
      <c r="T20" s="53"/>
      <c r="U20" s="53"/>
      <c r="V20" s="53"/>
    </row>
    <row r="21" spans="1:22">
      <c r="A21" s="52"/>
      <c r="B21" s="52"/>
      <c r="C21" s="52"/>
      <c r="D21" s="52"/>
      <c r="E21" s="52"/>
      <c r="F21" s="52"/>
      <c r="G21" s="52"/>
      <c r="H21" s="52"/>
      <c r="I21" s="52"/>
      <c r="J21" s="52"/>
      <c r="K21" s="52"/>
      <c r="L21" s="52"/>
      <c r="M21" s="52"/>
      <c r="N21" s="52"/>
      <c r="O21" s="52"/>
      <c r="P21" s="53"/>
      <c r="Q21" s="53"/>
      <c r="R21" s="53"/>
      <c r="S21" s="53"/>
      <c r="T21" s="53"/>
      <c r="U21" s="53"/>
      <c r="V21" s="53"/>
    </row>
    <row r="22" spans="1:22">
      <c r="A22" s="52"/>
      <c r="B22" s="52"/>
      <c r="C22" s="52"/>
      <c r="D22" s="52"/>
      <c r="E22" s="52"/>
      <c r="F22" s="52"/>
      <c r="G22" s="52"/>
      <c r="H22" s="52"/>
      <c r="I22" s="52"/>
      <c r="J22" s="52"/>
      <c r="K22" s="52"/>
      <c r="L22" s="52"/>
      <c r="M22" s="52"/>
      <c r="N22" s="52"/>
      <c r="O22" s="52"/>
      <c r="P22" s="53"/>
      <c r="Q22" s="53"/>
      <c r="R22" s="53"/>
      <c r="S22" s="53"/>
      <c r="T22" s="53"/>
      <c r="U22" s="53"/>
      <c r="V22" s="53"/>
    </row>
    <row r="23" spans="1:22">
      <c r="A23" s="52"/>
      <c r="B23" s="52"/>
      <c r="C23" s="52"/>
      <c r="D23" s="52"/>
      <c r="E23" s="52"/>
      <c r="F23" s="52"/>
      <c r="G23" s="52"/>
      <c r="H23" s="52"/>
      <c r="I23" s="52"/>
      <c r="J23" s="52"/>
      <c r="K23" s="52"/>
      <c r="L23" s="52"/>
      <c r="M23" s="52"/>
      <c r="N23" s="52"/>
      <c r="O23" s="52"/>
      <c r="P23" s="53"/>
      <c r="Q23" s="53"/>
      <c r="R23" s="53"/>
      <c r="S23" s="53"/>
      <c r="T23" s="53"/>
      <c r="U23" s="53"/>
      <c r="V23" s="53"/>
    </row>
    <row r="24" spans="1:22">
      <c r="A24" s="52"/>
      <c r="B24" s="52"/>
      <c r="C24" s="52"/>
      <c r="D24" s="52"/>
      <c r="E24" s="52"/>
      <c r="F24" s="52"/>
      <c r="G24" s="52"/>
      <c r="H24" s="52"/>
      <c r="I24" s="52"/>
      <c r="J24" s="52"/>
      <c r="K24" s="52"/>
      <c r="L24" s="52"/>
      <c r="M24" s="52"/>
      <c r="N24" s="52"/>
      <c r="O24" s="52"/>
      <c r="P24" s="53"/>
      <c r="Q24" s="53"/>
      <c r="R24" s="53"/>
      <c r="S24" s="53"/>
      <c r="T24" s="53"/>
      <c r="U24" s="53"/>
      <c r="V24" s="53"/>
    </row>
    <row r="25" spans="1:22">
      <c r="A25" s="52"/>
      <c r="B25" s="52"/>
      <c r="C25" s="52"/>
      <c r="D25" s="52"/>
      <c r="E25" s="52"/>
      <c r="F25" s="52"/>
      <c r="G25" s="52"/>
      <c r="H25" s="52"/>
      <c r="I25" s="52"/>
      <c r="J25" s="52"/>
      <c r="K25" s="52"/>
      <c r="L25" s="52"/>
      <c r="M25" s="52"/>
      <c r="N25" s="52"/>
      <c r="O25" s="52"/>
      <c r="P25" s="53"/>
      <c r="Q25" s="53"/>
      <c r="R25" s="53"/>
      <c r="S25" s="53"/>
      <c r="T25" s="53"/>
      <c r="U25" s="53"/>
      <c r="V25" s="53"/>
    </row>
    <row r="26" spans="1:22">
      <c r="A26" s="52"/>
      <c r="B26" s="52"/>
      <c r="C26" s="52"/>
      <c r="D26" s="52"/>
      <c r="E26" s="52"/>
      <c r="F26" s="52"/>
      <c r="G26" s="52"/>
      <c r="H26" s="52"/>
      <c r="I26" s="52"/>
      <c r="J26" s="52"/>
      <c r="K26" s="52"/>
      <c r="L26" s="52"/>
      <c r="M26" s="52"/>
      <c r="N26" s="52"/>
      <c r="O26" s="52"/>
      <c r="P26" s="53"/>
      <c r="Q26" s="53"/>
      <c r="R26" s="53"/>
      <c r="S26" s="53"/>
      <c r="T26" s="53"/>
      <c r="U26" s="53"/>
      <c r="V26" s="53"/>
    </row>
    <row r="27" spans="1:22">
      <c r="A27" s="52"/>
      <c r="B27" s="52"/>
      <c r="C27" s="52"/>
      <c r="D27" s="52"/>
      <c r="E27" s="52"/>
      <c r="F27" s="52"/>
      <c r="G27" s="52"/>
      <c r="H27" s="52"/>
      <c r="I27" s="52"/>
      <c r="J27" s="52"/>
      <c r="K27" s="52"/>
      <c r="L27" s="52"/>
      <c r="M27" s="52"/>
      <c r="N27" s="52"/>
      <c r="O27" s="52"/>
      <c r="P27" s="53"/>
      <c r="Q27" s="53"/>
      <c r="R27" s="53"/>
      <c r="S27" s="53"/>
      <c r="T27" s="53"/>
      <c r="U27" s="53"/>
      <c r="V27" s="53"/>
    </row>
    <row r="28" spans="1:22">
      <c r="A28" s="52"/>
      <c r="B28" s="52"/>
      <c r="C28" s="52"/>
      <c r="D28" s="52"/>
      <c r="E28" s="52"/>
      <c r="F28" s="52"/>
      <c r="G28" s="52"/>
      <c r="H28" s="52"/>
      <c r="I28" s="52"/>
      <c r="J28" s="52"/>
      <c r="K28" s="52"/>
      <c r="L28" s="52"/>
      <c r="M28" s="52"/>
      <c r="N28" s="52"/>
      <c r="O28" s="52"/>
      <c r="P28" s="53"/>
      <c r="Q28" s="53"/>
      <c r="R28" s="53"/>
      <c r="S28" s="53"/>
      <c r="T28" s="53"/>
      <c r="U28" s="53"/>
      <c r="V28" s="53"/>
    </row>
    <row r="29" spans="1:22">
      <c r="A29" s="52"/>
      <c r="B29" s="52"/>
      <c r="C29" s="52"/>
      <c r="D29" s="52"/>
      <c r="E29" s="52"/>
      <c r="F29" s="52"/>
      <c r="G29" s="52"/>
      <c r="H29" s="52"/>
      <c r="I29" s="52"/>
      <c r="J29" s="52"/>
      <c r="K29" s="52"/>
      <c r="L29" s="52"/>
      <c r="M29" s="52"/>
      <c r="N29" s="52"/>
      <c r="O29" s="52"/>
      <c r="P29" s="53"/>
      <c r="Q29" s="53"/>
      <c r="R29" s="53"/>
      <c r="S29" s="53"/>
      <c r="T29" s="53"/>
      <c r="U29" s="53"/>
      <c r="V29" s="53"/>
    </row>
    <row r="30" spans="1:22">
      <c r="A30" s="52"/>
      <c r="B30" s="52"/>
      <c r="C30" s="52"/>
      <c r="D30" s="52"/>
      <c r="E30" s="52"/>
      <c r="F30" s="52"/>
      <c r="G30" s="52"/>
      <c r="H30" s="52"/>
      <c r="I30" s="52"/>
      <c r="J30" s="52"/>
      <c r="K30" s="52"/>
      <c r="L30" s="52"/>
      <c r="M30" s="52"/>
      <c r="N30" s="52"/>
      <c r="O30" s="52"/>
      <c r="P30" s="53"/>
      <c r="Q30" s="53"/>
      <c r="R30" s="53"/>
      <c r="S30" s="53"/>
      <c r="T30" s="53"/>
      <c r="U30" s="53"/>
      <c r="V30" s="53"/>
    </row>
    <row r="31" spans="1:22">
      <c r="A31" s="52"/>
      <c r="B31" s="52"/>
      <c r="C31" s="52"/>
      <c r="D31" s="52"/>
      <c r="E31" s="52"/>
      <c r="F31" s="52"/>
      <c r="G31" s="52"/>
      <c r="H31" s="52"/>
      <c r="I31" s="52"/>
      <c r="J31" s="52"/>
      <c r="K31" s="52"/>
      <c r="L31" s="52"/>
      <c r="M31" s="52"/>
      <c r="N31" s="52"/>
      <c r="O31" s="52"/>
      <c r="P31" s="53"/>
      <c r="Q31" s="53"/>
      <c r="R31" s="53"/>
      <c r="S31" s="53"/>
      <c r="T31" s="53"/>
      <c r="U31" s="53"/>
      <c r="V31" s="53"/>
    </row>
    <row r="32" spans="1:22">
      <c r="A32" s="52"/>
      <c r="B32" s="52"/>
      <c r="C32" s="52"/>
      <c r="D32" s="52"/>
      <c r="E32" s="52"/>
      <c r="F32" s="52"/>
      <c r="G32" s="52"/>
      <c r="H32" s="52"/>
      <c r="I32" s="52"/>
      <c r="J32" s="52"/>
      <c r="K32" s="52"/>
      <c r="L32" s="52"/>
      <c r="M32" s="52"/>
      <c r="N32" s="52"/>
      <c r="O32" s="52"/>
      <c r="P32" s="53"/>
      <c r="Q32" s="53"/>
      <c r="R32" s="53"/>
      <c r="S32" s="53"/>
      <c r="T32" s="53"/>
      <c r="U32" s="53"/>
      <c r="V32" s="53"/>
    </row>
    <row r="33" spans="1:22">
      <c r="A33" s="52"/>
      <c r="B33" s="52"/>
      <c r="C33" s="52"/>
      <c r="D33" s="52"/>
      <c r="E33" s="52"/>
      <c r="F33" s="52"/>
      <c r="G33" s="52"/>
      <c r="H33" s="52"/>
      <c r="I33" s="52"/>
      <c r="J33" s="52"/>
      <c r="K33" s="52"/>
      <c r="L33" s="52"/>
      <c r="M33" s="52"/>
      <c r="N33" s="52"/>
      <c r="O33" s="52"/>
      <c r="P33" s="53"/>
      <c r="Q33" s="53"/>
      <c r="R33" s="53"/>
      <c r="S33" s="53"/>
      <c r="T33" s="53"/>
      <c r="U33" s="53"/>
      <c r="V33" s="53"/>
    </row>
    <row r="34" spans="1:22">
      <c r="A34" s="53"/>
      <c r="B34" s="53"/>
      <c r="C34" s="53"/>
      <c r="D34" s="53"/>
      <c r="E34" s="53"/>
      <c r="F34" s="53"/>
      <c r="G34" s="53"/>
      <c r="H34" s="53"/>
      <c r="I34" s="53"/>
      <c r="J34" s="53"/>
      <c r="K34" s="53"/>
      <c r="L34" s="53"/>
      <c r="M34" s="53"/>
      <c r="N34" s="53"/>
      <c r="O34" s="53"/>
      <c r="P34" s="53"/>
      <c r="Q34" s="53"/>
      <c r="R34" s="53"/>
      <c r="S34" s="53"/>
      <c r="T34" s="53"/>
      <c r="U34" s="53"/>
      <c r="V34" s="53"/>
    </row>
    <row r="35" spans="1:22">
      <c r="A35" s="53"/>
      <c r="B35" s="53"/>
      <c r="C35" s="53"/>
      <c r="D35" s="53"/>
      <c r="E35" s="53"/>
      <c r="F35" s="53"/>
      <c r="G35" s="53"/>
      <c r="H35" s="53"/>
      <c r="I35" s="53"/>
      <c r="J35" s="53"/>
      <c r="K35" s="53"/>
      <c r="L35" s="53"/>
      <c r="M35" s="53"/>
      <c r="N35" s="53"/>
      <c r="O35" s="53"/>
      <c r="P35" s="53"/>
      <c r="Q35" s="53"/>
      <c r="R35" s="53"/>
      <c r="S35" s="53"/>
      <c r="T35" s="53"/>
      <c r="U35" s="53"/>
      <c r="V35" s="53"/>
    </row>
    <row r="36" spans="1:22">
      <c r="A36" s="53"/>
      <c r="B36" s="53"/>
      <c r="C36" s="53"/>
      <c r="D36" s="53"/>
      <c r="E36" s="53"/>
      <c r="F36" s="53"/>
      <c r="G36" s="53"/>
      <c r="H36" s="53"/>
      <c r="I36" s="53"/>
      <c r="J36" s="53"/>
      <c r="K36" s="53"/>
      <c r="L36" s="53"/>
      <c r="M36" s="53"/>
      <c r="N36" s="53"/>
      <c r="O36" s="53"/>
      <c r="P36" s="53"/>
      <c r="Q36" s="53"/>
      <c r="R36" s="53"/>
      <c r="S36" s="53"/>
      <c r="T36" s="53"/>
      <c r="U36" s="53"/>
      <c r="V36" s="53"/>
    </row>
    <row r="37" spans="1:22">
      <c r="A37" s="53"/>
      <c r="B37" s="53"/>
      <c r="C37" s="53"/>
      <c r="D37" s="53"/>
      <c r="E37" s="53"/>
      <c r="F37" s="53"/>
      <c r="G37" s="53"/>
      <c r="H37" s="53"/>
      <c r="I37" s="53"/>
      <c r="J37" s="53"/>
      <c r="K37" s="53"/>
      <c r="L37" s="53"/>
      <c r="M37" s="53"/>
      <c r="N37" s="53"/>
      <c r="O37" s="53"/>
      <c r="P37" s="53"/>
      <c r="Q37" s="53"/>
      <c r="R37" s="53"/>
      <c r="S37" s="53"/>
      <c r="T37" s="53"/>
      <c r="U37" s="53"/>
      <c r="V37" s="53"/>
    </row>
  </sheetData>
  <mergeCells count="1">
    <mergeCell ref="A1:D2"/>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ke_matrix">
                <anchor moveWithCells="1" sizeWithCells="1">
                  <from>
                    <xdr:col>5</xdr:col>
                    <xdr:colOff>323850</xdr:colOff>
                    <xdr:row>18</xdr:row>
                    <xdr:rowOff>85725</xdr:rowOff>
                  </from>
                  <to>
                    <xdr:col>7</xdr:col>
                    <xdr:colOff>161925</xdr:colOff>
                    <xdr:row>20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はじめに</vt:lpstr>
      <vt:lpstr>4月</vt:lpstr>
      <vt:lpstr>5月</vt:lpstr>
      <vt:lpstr>6月</vt:lpstr>
      <vt:lpstr>7月</vt:lpstr>
      <vt:lpstr>8月</vt:lpstr>
      <vt:lpstr>9月</vt:lpstr>
      <vt:lpstr>10月</vt:lpstr>
      <vt:lpstr>11月</vt:lpstr>
      <vt:lpstr>12月</vt:lpstr>
      <vt:lpstr>1月</vt:lpstr>
      <vt:lpstr>2月</vt:lpstr>
      <vt:lpstr>3月</vt:lpstr>
      <vt:lpstr>年度別決算</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2021-02-03T16:15:02Z</dcterms:created>
  <dcterms:modified xsi:type="dcterms:W3CDTF">2021-02-05T16:16:47Z</dcterms:modified>
</cp:coreProperties>
</file>